
<file path=[Content_Types].xml><?xml version="1.0" encoding="utf-8"?>
<Types xmlns="http://schemas.openxmlformats.org/package/2006/content-types"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Target="docProps/core.xml" Type="http://schemas.openxmlformats.org/package/2006/relationships/metadata/core-properties" Id="rId11"/>
<Relationship Target="xl/workbook.xml" Type="http://schemas.openxmlformats.org/officeDocument/2006/relationships/officeDocument" Id="rId12"/>
</Relationships>

</file>

<file path=xl/workbook.xml><?xml version="1.0" encoding="utf-8"?>
<workbook xmlns:r="http://schemas.openxmlformats.org/officeDocument/2006/relationships" xmlns="http://schemas.openxmlformats.org/spreadsheetml/2006/main">
  <sheets>
    <sheet r:id="rId1" sheetId="1" name="Notes"/>
    <sheet r:id="rId2" sheetId="2" name="PerformanceIndicators-Farm"/>
    <sheet r:id="rId3" sheetId="3" name="RevenueExpenseProfit-Farm"/>
    <sheet r:id="rId4" sheetId="4" name="RevenueExpenseProfit-SU"/>
    <sheet r:id="rId5" sheetId="5" name="RevenueExpenseProfit-HA"/>
    <sheet r:id="rId6" sheetId="6" name="CapitalStructure-Farm"/>
    <sheet r:id="rId7" sheetId="7" name="CapitalStructure-SU"/>
    <sheet r:id="rId8" sheetId="8" name="CapitalStructure-HA"/>
    <sheet r:id="rId9" sheetId="9" name="FlowOfFunds-Farm"/>
  </sheets>
  <calcPr fullCalcOnLoad="1"/>
</workbook>
</file>

<file path=xl/comments9.xml><?xml version="1.0" encoding="utf-8"?>
<comments xmlns="http://schemas.openxmlformats.org/spreadsheetml/2006/main">
  <authors>
    <author>BLNZ</author>
  </authors>
  <commentList>
    <comment authorId="0" ref="C14">
      <text>
        <r>
          <t>Rate: 4.9%
Term: 4.4 years</t>
        </r>
      </text>
    </comment>
    <comment authorId="0" ref="D14">
      <text>
        <r>
          <t>Rate: 4.5%
Term: 4.7 years</t>
        </r>
      </text>
    </comment>
    <comment authorId="0" ref="E14">
      <text>
        <r>
          <t>Rate: 4.9%
Term: 3.9 years</t>
        </r>
      </text>
    </comment>
    <comment authorId="0" ref="F14">
      <text>
        <r>
          <t>Rate: 4.0%
Term: 4.1 years</t>
        </r>
      </text>
    </comment>
    <comment authorId="0" ref="G14">
      <text>
        <r>
          <t>Rate: 3.6%
Term: 4.6 years</t>
        </r>
      </text>
    </comment>
    <comment authorId="0" ref="H14">
      <text>
        <r>
          <t>Rate: 5.2%
Term: 4.2 years</t>
        </r>
      </text>
    </comment>
    <comment authorId="0" ref="I14">
      <text>
        <r>
          <t>Rate: 7.8%
Term: 9.2 years</t>
        </r>
      </text>
    </comment>
    <comment authorId="0" ref="J14">
      <text>
        <r>
          <t>Rate: 6.8%
Term: 4.7 years</t>
        </r>
      </text>
    </comment>
  </commentList>
</comments>
</file>

<file path=xl/sharedStrings.xml><?xml version="1.0" encoding="utf-8"?>
<sst xmlns="http://schemas.openxmlformats.org/spreadsheetml/2006/main" count="497" uniqueCount="220">
  <si>
    <t>Sheep and Beef Farm Survey: Class 6 S.I. Finishing Breeding - Marlborough-Canterbury</t>
  </si>
  <si>
    <t>This workbook has a number of "tabs" (at the bottom of the page) with each tab containing data</t>
  </si>
  <si>
    <t>Navigate within this workbook</t>
  </si>
  <si>
    <t>on a per Farm, per Hectare (ha) or per Stock Unit (su) basis.</t>
  </si>
  <si>
    <t>Performance Indicators Per Farm Analysis</t>
  </si>
  <si>
    <t>$ Per Farm Analysis</t>
  </si>
  <si>
    <t>Individual Farm Classes in the table below are ranked from Extensive to Intensive and comprise:</t>
  </si>
  <si>
    <t>$ Per Stock Unit Analysis</t>
  </si>
  <si>
    <t>$ Per Hectare Analysis</t>
  </si>
  <si>
    <t>Northland</t>
  </si>
  <si>
    <t>East</t>
  </si>
  <si>
    <t>Taranaki-</t>
  </si>
  <si>
    <t>Capital Structure $ per Farm</t>
  </si>
  <si>
    <t>North Island</t>
  </si>
  <si>
    <t>Waikato-BoP</t>
  </si>
  <si>
    <t> Coast</t>
  </si>
  <si>
    <t>Manawatu</t>
  </si>
  <si>
    <t>Capital Structure $ per Stock Unit</t>
  </si>
  <si>
    <t>Class 3</t>
  </si>
  <si>
    <t>North Island Hard Hill Country</t>
  </si>
  <si>
    <t>Capital Structure $ per Hectare</t>
  </si>
  <si>
    <t>Class 4</t>
  </si>
  <si>
    <t>North Island Hill Country</t>
  </si>
  <si>
    <t>Flow of Funds $ per Farm</t>
  </si>
  <si>
    <t>Class 5</t>
  </si>
  <si>
    <t>North Island Intensive Finishing</t>
  </si>
  <si>
    <t>Class 9</t>
  </si>
  <si>
    <t>All Classes Region</t>
  </si>
  <si>
    <t>Marlborough</t>
  </si>
  <si>
    <t>Otago</t>
  </si>
  <si>
    <t>South Island</t>
  </si>
  <si>
    <t>Canterbury</t>
  </si>
  <si>
    <t>Southland</t>
  </si>
  <si>
    <t>Class 1</t>
  </si>
  <si>
    <t>South Island High Country</t>
  </si>
  <si>
    <t>Class 2</t>
  </si>
  <si>
    <t>South Island Hill Country</t>
  </si>
  <si>
    <t>Class 6</t>
  </si>
  <si>
    <t>South Island Finishing Breeding</t>
  </si>
  <si>
    <t>Class 7</t>
  </si>
  <si>
    <t>South Island Intensive Finishing</t>
  </si>
  <si>
    <t>Class 8</t>
  </si>
  <si>
    <t>South Island Mixed Finishing</t>
  </si>
  <si>
    <t>New Zealand</t>
  </si>
  <si>
    <t>NZ</t>
  </si>
  <si>
    <t>All Classes NZ</t>
  </si>
  <si>
    <t>The Class 9  "All Classes NZ" or "All Classes Region" Farm is a weighted average of its respective farm Classes and does</t>
  </si>
  <si>
    <t>not represent any one farm but is a useful representation of the New Zealand Sheep and Beef Farm Sector or a Region</t>
  </si>
  <si>
    <t>subsector Farm that describes annual data and sector trends.</t>
  </si>
  <si>
    <t>If more information is required, please use the following contact email address:</t>
  </si>
  <si>
    <t>econ@beeflambnz.com</t>
  </si>
  <si>
    <t>BNS.6100</t>
  </si>
  <si>
    <t>Beef + Lamb New Zealand Economic Service</t>
  </si>
  <si>
    <t>Sheep and Beef Farm Survey - Performance Indicators Per Farm Analysis</t>
  </si>
  <si>
    <t>Notes tab</t>
  </si>
  <si>
    <t>Class 6 S.I. Finishing Breeding - Marlborough-Canterbury</t>
  </si>
  <si>
    <t>Provisional</t>
  </si>
  <si>
    <t>Forecast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</si>
  <si>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</si>
  <si>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</si>
  <si>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</si>
  <si>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</si>
  <si>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</si>
  <si>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</si>
  <si>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</si>
  <si>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</si>
  <si>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</si>
  <si>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</si>
  <si>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Physical Indicators</t>
  </si>
  <si>
    <t>Effective Area (Hectares)</t>
  </si>
  <si>
    <t>Total Labour Units</t>
  </si>
  <si>
    <t>Total Stock Units at Open</t>
  </si>
  <si>
    <t>Stock Units per ha</t>
  </si>
  <si>
    <t>Production Indicators</t>
  </si>
  <si>
    <t>Ewe Lambing %</t>
  </si>
  <si>
    <t>Hogget lambs as % Total lambs</t>
  </si>
  <si>
    <t>Calving %</t>
  </si>
  <si>
    <t>Fawning %</t>
  </si>
  <si>
    <t>Shorn Wool Sold kg Per Sheep</t>
  </si>
  <si>
    <t>Shorn Wool Sold kg Per Sheep SU</t>
  </si>
  <si>
    <t>Price Indicators</t>
  </si>
  <si>
    <t>Net Wool cents per kg greasy</t>
  </si>
  <si>
    <t>Sales Prime Lamb  $ per head</t>
  </si>
  <si>
    <t>Sales Store lambs $ per head</t>
  </si>
  <si>
    <t>Sales Ewes MA Prime $ per head</t>
  </si>
  <si>
    <t>Sales Ewes MA Store $ per head</t>
  </si>
  <si>
    <t>Sales Ewes 2th Prime $ per head</t>
  </si>
  <si>
    <t>Sales Ewes 2th Store $ per head</t>
  </si>
  <si>
    <t>Sales Steers 1-1.5 yr Prime $ per head</t>
  </si>
  <si>
    <t>Sales Steers 2 yr+ Prime $ per head</t>
  </si>
  <si>
    <t>Sales Bull Beef Prime/Boner $ per head</t>
  </si>
  <si>
    <t>Sales Cows Prime/Boner      $ per head</t>
  </si>
  <si>
    <t>Sales Bull Beef   1 yr Store $ per head</t>
  </si>
  <si>
    <t>Sales Steers  1-1.5 yr Store $ per head</t>
  </si>
  <si>
    <t>Sales Heifers 1-1.5 yr Store $ per head</t>
  </si>
  <si>
    <t>Financial Indicators</t>
  </si>
  <si>
    <t>Economic Farm Surplus $ per hectare</t>
  </si>
  <si>
    <t>Economic Farm Surplus $ per stock unit</t>
  </si>
  <si>
    <t>Earnings b4 Interest Tax &amp; Rent $ per ha</t>
  </si>
  <si>
    <t>Earnings b4 Interest Tax &amp; Rent $ per SU</t>
  </si>
  <si>
    <t>Rate of Return on Total Farm Capital %</t>
  </si>
  <si>
    <t>Equity as % of Total Assets</t>
  </si>
  <si>
    <t>For more information:</t>
  </si>
  <si>
    <t>© Beef + Lamb New Zealand Economic Service 2025</t>
  </si>
  <si>
    <t>Sheep and Beef Farm Survey - $ Per Farm Analysis</t>
  </si>
  <si>
    <t>Revenue Per Farm</t>
  </si>
  <si>
    <t>Wool</t>
  </si>
  <si>
    <t>Sheep</t>
  </si>
  <si>
    <t>Cattle</t>
  </si>
  <si>
    <t>Dairy Grazing</t>
  </si>
  <si>
    <t>Deer + Velvet</t>
  </si>
  <si>
    <t>Cash Crop</t>
  </si>
  <si>
    <t>Other</t>
  </si>
  <si>
    <t>Total Gross Revenue</t>
  </si>
  <si>
    <t>Expenditure Per Farm</t>
  </si>
  <si>
    <t>Wages</t>
  </si>
  <si>
    <t>Animal Health</t>
  </si>
  <si>
    <t>Weed &amp; Pest Control</t>
  </si>
  <si>
    <t>Shearing Expenses</t>
  </si>
  <si>
    <t>Fertiliser</t>
  </si>
  <si>
    <t>Lime</t>
  </si>
  <si>
    <t>Seeds</t>
  </si>
  <si>
    <t>Vehicle Expenses</t>
  </si>
  <si>
    <t>Fuel</t>
  </si>
  <si>
    <t>Electricity</t>
  </si>
  <si>
    <t>Feed &amp; Grazing</t>
  </si>
  <si>
    <t>Dog expenses</t>
  </si>
  <si>
    <t>Irrigation Charges</t>
  </si>
  <si>
    <t>Cultivation &amp; Sowing</t>
  </si>
  <si>
    <t>Cash Crop Expenses</t>
  </si>
  <si>
    <t>Repairs &amp; Maintenance</t>
  </si>
  <si>
    <t>Cartage</t>
  </si>
  <si>
    <t>Administration Expenses</t>
  </si>
  <si>
    <t>Total Working Expenses</t>
  </si>
  <si>
    <t>Insurance</t>
  </si>
  <si>
    <t>ACC Levies</t>
  </si>
  <si>
    <t>Rates</t>
  </si>
  <si>
    <t>Managerial Salaries</t>
  </si>
  <si>
    <t>Interest</t>
  </si>
  <si>
    <t>Rent</t>
  </si>
  <si>
    <t>Total Standing Charges</t>
  </si>
  <si>
    <t>Total Cash Expenditure</t>
  </si>
  <si>
    <t>Depreciation</t>
  </si>
  <si>
    <t>Total Farm Expenditure</t>
  </si>
  <si>
    <t>Farm Profit before Tax</t>
  </si>
  <si>
    <t>Sheep and Beef Farm Survey - $ Per Stock Unit Analysis</t>
  </si>
  <si>
    <t>Revenue Per Stock Unit</t>
  </si>
  <si>
    <t>Wool Ac       per Sheep SU</t>
  </si>
  <si>
    <t>Sheep Ac      per Sheep SU</t>
  </si>
  <si>
    <t>Wool+Sheep Ac per Sheep SU</t>
  </si>
  <si>
    <t>    Shearing exp per Sheep SU</t>
  </si>
  <si>
    <t>Cattle Ac per Beef Cattle SU</t>
  </si>
  <si>
    <t>Dairy Grazing per Dairy (Replacement) SU</t>
  </si>
  <si>
    <t>Deer + Velvet  per Deer SU</t>
  </si>
  <si>
    <t>Total Gross Revenue per SU</t>
  </si>
  <si>
    <t>Expenditure Per Stock Unit</t>
  </si>
  <si>
    <t>Sheep and Beef Farm Survey - $ Per Hectare Analysis</t>
  </si>
  <si>
    <t>Revenue Per Hectare</t>
  </si>
  <si>
    <t>Expenditure Per Hectare</t>
  </si>
  <si>
    <t>Sheep and Beef Farm Survey - Capital Structure $ per Farm</t>
  </si>
  <si>
    <t>ASSETS</t>
  </si>
  <si>
    <t>Capital Value (excluding Homestead)</t>
  </si>
  <si>
    <t>Truck and Tractor</t>
  </si>
  <si>
    <t>Other Plant &amp; Machinery</t>
  </si>
  <si>
    <t>Sheep at Market Value</t>
  </si>
  <si>
    <t>Cattle at Market Value</t>
  </si>
  <si>
    <t>Deer at Market Value</t>
  </si>
  <si>
    <t>Other Livestock at Market Value</t>
  </si>
  <si>
    <t>FARM CAPITAL</t>
  </si>
  <si>
    <t>Current Assets</t>
  </si>
  <si>
    <t>Term Deposits</t>
  </si>
  <si>
    <t>Income Equalisation Balance</t>
  </si>
  <si>
    <t>Investments Off-Farm</t>
  </si>
  <si>
    <t>Other Assets</t>
  </si>
  <si>
    <t>Homestead</t>
  </si>
  <si>
    <t>Car</t>
  </si>
  <si>
    <t>TOTAL ASSETS AT CLOSE</t>
  </si>
  <si>
    <t>LIABILITIES</t>
  </si>
  <si>
    <t>Current Liabilities</t>
  </si>
  <si>
    <t>Fixed Liabilities</t>
  </si>
  <si>
    <t>Net Worth</t>
  </si>
  <si>
    <t>TOTAL AT CLOSE</t>
  </si>
  <si>
    <t>Sheep at Open</t>
  </si>
  <si>
    <t>Cattle at Open</t>
  </si>
  <si>
    <t>Deer at Open</t>
  </si>
  <si>
    <t>Effective Area (Ha)</t>
  </si>
  <si>
    <t> Reserves calculated in this manner recognises these non-owned assets and allows the true Net Worth position to be shown in line 18.</t>
  </si>
  <si>
    <t>Sheep and Beef Farm Survey - Capital Structure $ per Stock Unit</t>
  </si>
  <si>
    <t> Reserves calculated in this manner recognises these non-owned assets and allows the true Net Worth position to be shown in line 17.</t>
  </si>
  <si>
    <t>Sheep and Beef Farm Survey - Capital Structure $ per Hectare</t>
  </si>
  <si>
    <t>Sheep and Beef Farm Survey - Flow of Funds $ per Farm</t>
  </si>
  <si>
    <t>SOURCE OF FUNDS</t>
  </si>
  <si>
    <t>Farm Profit Before Tax</t>
  </si>
  <si>
    <t>plus Depreciation</t>
  </si>
  <si>
    <t>plus Livestock Value Change</t>
  </si>
  <si>
    <t>= FARM CASH SURPLUS</t>
  </si>
  <si>
    <t>plus Interest &amp; Dividends</t>
  </si>
  <si>
    <t>plus Non Farm Income</t>
  </si>
  <si>
    <t>plus Mortgage Increase*</t>
  </si>
  <si>
    <t>plus Carbon Credit Receipts</t>
  </si>
  <si>
    <t>plus Other Sources</t>
  </si>
  <si>
    <t>= SOURCE OF FUNDS (A)</t>
  </si>
  <si>
    <t>APPLICATION OF FUNDS</t>
  </si>
  <si>
    <t>New Buildings &amp; Additions</t>
  </si>
  <si>
    <t>plus Plant &amp; Vehicles</t>
  </si>
  <si>
    <t>plus Income Equalisation A/c</t>
  </si>
  <si>
    <t>plus Term Deposits</t>
  </si>
  <si>
    <t>plus Investment</t>
  </si>
  <si>
    <t>plus Mortgage Reduction</t>
  </si>
  <si>
    <t>plus Drawings</t>
  </si>
  <si>
    <t>plus Tax</t>
  </si>
  <si>
    <t>plus Other Applications</t>
  </si>
  <si>
    <t>= APPLICATION OF FUNDS (B)</t>
  </si>
  <si>
    <t>SOURCE - APPLICATION (A-B)</t>
  </si>
  <si>
    <t>= CHANGE IN WORKING CAPITAL</t>
  </si>
  <si>
    <t>REFLECTED BY CHANGE IN</t>
  </si>
  <si>
    <t>less Current Liabilities</t>
  </si>
  <si>
    <t>*MORTGAGE INCREASE DETAILS</t>
  </si>
  <si>
    <t>Interest Rate %</t>
  </si>
  <si>
    <t>Term in Years</t>
  </si>
</sst>
</file>

<file path=xl/styles.xml><?xml version="1.0" encoding="utf-8"?>
<styleSheet xmlns="http://schemas.openxmlformats.org/spreadsheetml/2006/main">
  <numFmts>
    <numFmt formatCode="dd-mm-yy" numFmtId="50"/>
    <numFmt formatCode="##0" numFmtId="51"/>
    <numFmt formatCode="0.00" numFmtId="52"/>
    <numFmt formatCode="0.0" numFmtId="53"/>
    <numFmt formatCode="##0.0" numFmtId="54"/>
    <numFmt formatCode="#0.0" numFmtId="55"/>
    <numFmt formatCode="#0" numFmtId="56"/>
    <numFmt formatCode="#0.00" numFmtId="57"/>
    <numFmt formatCode="##0.00" numFmtId="58"/>
    <numFmt formatCode="###0.00" numFmtId="59"/>
    <numFmt formatCode="##,##0" numFmtId="60"/>
    <numFmt formatCode="###,##0" numFmtId="61"/>
    <numFmt formatCode="#,###,##0" numFmtId="62"/>
    <numFmt formatCode="##,###,##0" numFmtId="63"/>
    <numFmt formatCode="##,##0.00" numFmtId="64"/>
    <numFmt formatCode="###0" numFmtId="65"/>
    <numFmt formatCode="####,##0" numFmtId="66"/>
  </numFmts>
  <fonts>
    <font>
      <sz val="10.0"/>
      <name val="Arial"/>
      <family val="2"/>
    </font>
    <font>
      <b val="true"/>
      <sz val="14"/>
    </font>
    <font>
      <u val="true"/>
      <color rgb="FF041690"/>
    </font>
    <font>
      <b val="true"/>
    </font>
    <font>
      <b val="true"/>
      <sz val="11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>
    <xf borderId="0" fillId="0" fontId="0" numFmtId="0"/>
  </cellStyleXfs>
  <cellXfs>
    <xf numFmtId="0" borderId="0" fillId="0" fontId="0" xfId="0"/>
    <xf numFmtId="0" borderId="0" fillId="0" fontId="1"/>
    <xf applyNumberFormat="1" numFmtId="1" borderId="0" fillId="0" fontId="0"/>
    <xf numFmtId="0" borderId="0" fillId="0" fontId="2"/>
    <xf numFmtId="0" borderId="1" fillId="0" fontId="0" applyAlignment="1">
      <alignment horizontal="center"/>
    </xf>
    <xf numFmtId="0" borderId="2" fillId="0" fontId="0" applyAlignment="1">
      <alignment horizontal="center"/>
    </xf>
    <xf numFmtId="0" borderId="1" fillId="0" fontId="3"/>
    <xf numFmtId="0" borderId="3" fillId="0" fontId="0"/>
    <xf numFmtId="0" borderId="4" fillId="0" fontId="0" applyAlignment="1">
      <alignment horizontal="center"/>
    </xf>
    <xf numFmtId="0" borderId="0" fillId="0" fontId="0" applyAlignment="1">
      <alignment horizontal="center" indent="0"/>
    </xf>
    <xf numFmtId="0" borderId="1" fillId="0" fontId="0"/>
    <xf numFmtId="0" borderId="5" fillId="0" fontId="0" applyAlignment="1">
      <alignment horizontal="center"/>
    </xf>
    <xf numFmtId="0" borderId="6" fillId="0" fontId="0"/>
    <xf numFmtId="0" borderId="7" fillId="0" fontId="0"/>
    <xf numFmtId="0" borderId="8" fillId="0" fontId="0" applyAlignment="1">
      <alignment horizontal="center"/>
    </xf>
    <xf numFmtId="0" borderId="5" fillId="0" fontId="0"/>
    <xf numFmtId="0" borderId="0" fillId="0" fontId="0" applyAlignment="1">
      <alignment horizontal="right"/>
    </xf>
    <xf applyNumberFormat="1" numFmtId="50" borderId="0" fillId="0" fontId="3" applyAlignment="1">
      <alignment horizontal="right"/>
    </xf>
    <xf numFmtId="0" borderId="0" fillId="0" fontId="4"/>
    <xf numFmtId="0" borderId="0" fillId="0" fontId="2" applyAlignment="1">
      <alignment horizontal="right"/>
    </xf>
    <xf numFmtId="0" borderId="0" fillId="0" fontId="3"/>
    <xf numFmtId="0" borderId="0" fillId="0" fontId="3" applyAlignment="1">
      <alignment horizontal="right"/>
    </xf>
    <xf applyNumberFormat="1" numFmtId="1" borderId="0" fillId="0" fontId="0" applyAlignment="1">
      <alignment horizontal="right"/>
    </xf>
    <xf applyNumberFormat="1" numFmtId="51" borderId="0" fillId="0" fontId="0" applyAlignment="1">
      <alignment horizontal="right"/>
    </xf>
    <xf applyNumberFormat="1" numFmtId="52" borderId="0" fillId="0" fontId="0" applyAlignment="1">
      <alignment horizontal="right"/>
    </xf>
    <xf applyNumberFormat="1" numFmtId="3" borderId="0" fillId="0" fontId="0" applyAlignment="1">
      <alignment horizontal="right"/>
    </xf>
    <xf applyNumberFormat="1" numFmtId="53" borderId="0" fillId="0" fontId="0" applyAlignment="1">
      <alignment horizontal="right"/>
    </xf>
    <xf applyNumberFormat="1" numFmtId="54" borderId="0" fillId="0" fontId="0" applyAlignment="1">
      <alignment horizontal="right"/>
    </xf>
    <xf applyNumberFormat="1" numFmtId="55" borderId="0" fillId="0" fontId="0" applyAlignment="1">
      <alignment horizontal="right"/>
    </xf>
    <xf applyNumberFormat="1" numFmtId="56" borderId="0" fillId="0" fontId="0" applyAlignment="1">
      <alignment horizontal="right"/>
    </xf>
    <xf applyNumberFormat="1" numFmtId="57" borderId="0" fillId="0" fontId="0" applyAlignment="1">
      <alignment horizontal="right"/>
    </xf>
    <xf applyNumberFormat="1" numFmtId="58" borderId="0" fillId="0" fontId="0" applyAlignment="1">
      <alignment horizontal="right"/>
    </xf>
    <xf applyNumberFormat="1" numFmtId="4" borderId="0" fillId="0" fontId="0" applyAlignment="1">
      <alignment horizontal="right"/>
    </xf>
    <xf applyNumberFormat="1" numFmtId="59" borderId="0" fillId="0" fontId="0" applyAlignment="1">
      <alignment horizontal="right"/>
    </xf>
    <xf numFmtId="0" borderId="0" fillId="0" fontId="2" applyAlignment="1">
      <alignment horizontal="left"/>
    </xf>
    <xf applyNumberFormat="1" numFmtId="60" borderId="0" fillId="0" fontId="0" applyAlignment="1">
      <alignment horizontal="right"/>
    </xf>
    <xf applyNumberFormat="1" numFmtId="61" borderId="0" fillId="0" fontId="0" applyAlignment="1">
      <alignment horizontal="right"/>
    </xf>
    <xf applyNumberFormat="1" numFmtId="1" borderId="0" fillId="0" fontId="3" applyAlignment="1">
      <alignment horizontal="right"/>
    </xf>
    <xf applyNumberFormat="1" numFmtId="61" borderId="0" fillId="0" fontId="3" applyAlignment="1">
      <alignment horizontal="right"/>
    </xf>
    <xf applyNumberFormat="1" numFmtId="56" borderId="0" fillId="0" fontId="3" applyAlignment="1">
      <alignment horizontal="right"/>
    </xf>
    <xf applyNumberFormat="1" numFmtId="60" borderId="0" fillId="0" fontId="3" applyAlignment="1">
      <alignment horizontal="right"/>
    </xf>
    <xf numFmtId="0" borderId="0" fillId="0" fontId="0" applyAlignment="1">
      <alignment indent="1"/>
    </xf>
    <xf applyNumberFormat="1" numFmtId="58" borderId="0" fillId="0" fontId="3" applyAlignment="1">
      <alignment horizontal="right"/>
    </xf>
    <xf applyNumberFormat="1" numFmtId="57" borderId="0" fillId="0" fontId="3" applyAlignment="1">
      <alignment horizontal="right"/>
    </xf>
    <xf applyNumberFormat="1" numFmtId="52" borderId="0" fillId="0" fontId="3" applyAlignment="1">
      <alignment horizontal="right"/>
    </xf>
    <xf applyNumberFormat="1" numFmtId="59" borderId="0" fillId="0" fontId="3" applyAlignment="1">
      <alignment horizontal="right"/>
    </xf>
    <xf applyNumberFormat="1" numFmtId="62" borderId="0" fillId="0" fontId="0" applyAlignment="1">
      <alignment horizontal="right"/>
    </xf>
    <xf applyNumberFormat="1" numFmtId="62" borderId="0" fillId="0" fontId="3" applyAlignment="1">
      <alignment horizontal="right"/>
    </xf>
    <xf applyNumberFormat="1" numFmtId="63" borderId="0" fillId="0" fontId="3" applyAlignment="1">
      <alignment horizontal="right"/>
    </xf>
    <xf applyNumberFormat="1" numFmtId="3" borderId="0" fillId="0" fontId="3" applyAlignment="1">
      <alignment horizontal="right"/>
    </xf>
    <xf numFmtId="0" borderId="0" fillId="0" fontId="0" applyAlignment="1">
      <alignment indent="0"/>
    </xf>
    <xf applyNumberFormat="1" numFmtId="4" borderId="0" fillId="0" fontId="3" applyAlignment="1">
      <alignment horizontal="right"/>
    </xf>
    <xf applyNumberFormat="1" numFmtId="64" borderId="0" fillId="0" fontId="0" applyAlignment="1">
      <alignment horizontal="right"/>
    </xf>
    <xf applyNumberFormat="1" numFmtId="64" borderId="0" fillId="0" fontId="3" applyAlignment="1">
      <alignment horizontal="right"/>
    </xf>
    <xf applyNumberFormat="1" numFmtId="65" borderId="0" fillId="0" fontId="0" applyAlignment="1">
      <alignment horizontal="right"/>
    </xf>
    <xf applyNumberFormat="1" numFmtId="66" borderId="0" fillId="0" fontId="0" applyAlignment="1">
      <alignment horizontal="right"/>
    </xf>
  </cellXfs>
</styleSheet>
</file>

<file path=xl/_rels/workbook.xml.rels><?xml version="1.0" encoding="UTF-8" standalone="yes"?>
<Relationships xmlns="http://schemas.openxmlformats.org/package/2006/relationships">
<Relationship Id="rId10" Type="http://schemas.openxmlformats.org/officeDocument/2006/relationships/styles" Target="styles.xml" />
<Relationship Target="sharedStrings.xml" Type="http://schemas.openxmlformats.org/officeDocument/2006/relationships/sharedStrings" Id="rId11"/>
<Relationship Id="rId1" Type="http://schemas.openxmlformats.org/officeDocument/2006/relationships/worksheet" Target="worksheets/sheet1.xml" />
<Relationship Id="rId2" Type="http://schemas.openxmlformats.org/officeDocument/2006/relationships/worksheet" Target="worksheets/sheet2.xml" />
<Relationship Id="rId3" Type="http://schemas.openxmlformats.org/officeDocument/2006/relationships/worksheet" Target="worksheets/sheet3.xml" />
<Relationship Id="rId4" Type="http://schemas.openxmlformats.org/officeDocument/2006/relationships/worksheet" Target="worksheets/sheet4.xml" />
<Relationship Id="rId5" Type="http://schemas.openxmlformats.org/officeDocument/2006/relationships/worksheet" Target="worksheets/sheet5.xml" />
<Relationship Id="rId6" Type="http://schemas.openxmlformats.org/officeDocument/2006/relationships/worksheet" Target="worksheets/sheet6.xml" />
<Relationship Id="rId7" Type="http://schemas.openxmlformats.org/officeDocument/2006/relationships/worksheet" Target="worksheets/sheet7.xml" />
<Relationship Id="rId8" Type="http://schemas.openxmlformats.org/officeDocument/2006/relationships/worksheet" Target="worksheets/sheet8.xml" />
<Relationship Id="rId9" Type="http://schemas.openxmlformats.org/officeDocument/2006/relationships/worksheet" Target="worksheets/sheet9.xml" />
</Relationships>

</file>

<file path=xl/worksheets/_rels/sheet9.xml.rels><?xml version="1.0" encoding="UTF-8" standalone="yes"?>
<Relationships xmlns="http://schemas.openxmlformats.org/package/2006/relationships">
<Relationship Target="../comments9.xml" Type="http://schemas.openxmlformats.org/officeDocument/2006/relationships/comments" Id="rId2"/>
<Relationship Target="../drawings/vmlDrawing9.vml" Type="http://schemas.openxmlformats.org/officeDocument/2006/relationships/vmlDrawing" Id="rId1"/>
</Relationships>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4" customWidth="1"/>
    <col min="2" max="2" width="4" customWidth="1"/>
    <col min="3" max="3" width="14" customWidth="1"/>
    <col min="4" max="4" width="9" customWidth="1"/>
    <col min="5" max="5" width="9" customWidth="1"/>
    <col min="6" max="6" width="9" customWidth="1"/>
    <col min="7" max="7" width="13" customWidth="1"/>
    <col min="8" max="8" width="10" customWidth="1"/>
    <col min="9" max="9" width="12" customWidth="1"/>
    <col min="10" max="10" width="9" customWidth="1"/>
    <col min="11" max="11" width="9" customWidth="1"/>
    <col min="12" max="12" width="9" customWidth="1"/>
    <col min="13" max="13" width="9" customWidth="1"/>
  </cols>
  <sheetData>
    <row>
      <c t="s" r="A1"/>
      <c t="s" r="B1"/>
      <c t="s" r="C1"/>
      <c t="s" r="D1"/>
      <c t="s" r="E1"/>
      <c t="s" r="F1"/>
      <c t="s" r="G1"/>
      <c t="s" r="H1"/>
      <c t="s" r="I1"/>
      <c t="s" r="J1"/>
      <c t="s" r="K1"/>
      <c t="s" r="L1"/>
      <c t="s" r="M1"/>
      <c t="s" r="N1"/>
    </row>
    <row>
      <c s="1" t="s" r="A2">
        <v>0</v>
      </c>
      <c t="s" r="B2"/>
      <c t="s" r="C2"/>
      <c t="s" r="D2"/>
      <c t="s" r="E2"/>
      <c t="s" r="F2"/>
      <c t="s" r="G2"/>
      <c t="s" r="H2"/>
      <c t="s" r="I2"/>
      <c t="s" r="J2"/>
      <c t="s" r="K2"/>
      <c t="s" r="L2"/>
      <c t="s" r="M2"/>
      <c t="s" r="N2"/>
    </row>
    <row>
      <c t="s" r="A3"/>
      <c t="s" r="B3"/>
      <c t="s" r="C3"/>
      <c t="s" r="D3"/>
      <c t="s" r="E3"/>
      <c t="s" r="F3"/>
      <c t="s" r="G3"/>
      <c t="s" r="H3"/>
      <c t="s" r="I3"/>
      <c t="s" r="J3"/>
      <c t="s" r="K3"/>
      <c t="s" r="L3"/>
      <c t="s" r="M3"/>
      <c t="s" r="N3"/>
    </row>
    <row>
      <c s="2" r="A4">
        <v>1</v>
      </c>
      <c t="s" r="B4">
        <v>1</v>
      </c>
      <c t="s" r="C4"/>
      <c t="s" r="D4"/>
      <c t="s" r="E4"/>
      <c t="s" r="F4"/>
      <c t="s" r="G4"/>
      <c t="s" r="H4"/>
      <c t="s" r="I4"/>
      <c t="s" r="J4"/>
      <c t="s" r="K4">
        <v>2</v>
      </c>
      <c t="s" r="L4"/>
      <c t="s" r="M4"/>
      <c t="s" r="N4"/>
    </row>
    <row>
      <c t="s" r="A5"/>
      <c t="s" r="B5">
        <v>3</v>
      </c>
      <c t="s" r="C5"/>
      <c t="s" r="D5"/>
      <c t="s" r="E5"/>
      <c t="s" r="F5"/>
      <c t="s" r="G5"/>
      <c t="s" r="H5"/>
      <c t="s" r="I5"/>
      <c t="s" r="J5"/>
      <c s="3" t="s" r="K5">
        <v>4</v>
      </c>
      <c t="s" r="L5"/>
      <c t="s" r="M5"/>
      <c t="s" r="N5"/>
    </row>
    <row>
      <c t="s" r="A6"/>
      <c t="s" r="B6"/>
      <c t="s" r="C6"/>
      <c t="s" r="D6"/>
      <c t="s" r="E6"/>
      <c t="s" r="F6"/>
      <c t="s" r="G6"/>
      <c t="s" r="H6"/>
      <c t="s" r="I6"/>
      <c t="s" r="J6"/>
      <c s="3" t="s" r="K6">
        <v>5</v>
      </c>
      <c t="s" r="L6"/>
      <c t="s" r="M6"/>
      <c t="s" r="N6"/>
    </row>
    <row>
      <c s="2" r="A7">
        <v>2</v>
      </c>
      <c t="s" r="B7">
        <v>6</v>
      </c>
      <c t="s" r="C7"/>
      <c t="s" r="D7"/>
      <c t="s" r="E7"/>
      <c t="s" r="F7"/>
      <c t="s" r="G7"/>
      <c t="s" r="H7"/>
      <c t="s" r="I7"/>
      <c t="s" r="J7"/>
      <c s="3" t="s" r="K7">
        <v>7</v>
      </c>
      <c t="s" r="L7"/>
      <c t="s" r="M7"/>
      <c t="s" r="N7"/>
    </row>
    <row>
      <c t="s" r="A8"/>
      <c t="s" r="B8"/>
      <c t="s" r="C8"/>
      <c t="s" r="D8"/>
      <c t="s" r="E8"/>
      <c t="s" r="F8"/>
      <c t="s" r="G8"/>
      <c t="s" r="H8"/>
      <c t="s" r="I8"/>
      <c t="s" r="J8"/>
      <c s="3" t="s" r="K8">
        <v>8</v>
      </c>
      <c t="s" r="L8"/>
      <c t="s" r="M8"/>
      <c t="s" r="N8"/>
    </row>
    <row>
      <c t="s" r="A9"/>
      <c t="s" r="B9"/>
      <c t="s" r="C9"/>
      <c t="s" r="D9"/>
      <c t="s" r="E9"/>
      <c t="s" r="F9"/>
      <c s="4" t="s" r="G9">
        <v>9</v>
      </c>
      <c s="4" t="s" r="H9">
        <v>10</v>
      </c>
      <c s="5" t="s" r="I9">
        <v>11</v>
      </c>
      <c t="s" r="J9"/>
      <c s="3" t="s" r="K9">
        <v>12</v>
      </c>
      <c t="s" r="L9"/>
      <c t="s" r="M9"/>
      <c t="s" r="N9"/>
    </row>
    <row>
      <c t="s" r="A10"/>
      <c t="s" r="B10"/>
      <c s="6" t="s" r="C10">
        <v>13</v>
      </c>
      <c s="7" t="s" r="D10"/>
      <c s="7" t="s" r="E10"/>
      <c s="7" t="s" r="F10"/>
      <c s="8" t="s" r="G10">
        <v>14</v>
      </c>
      <c s="9" t="s" r="H10">
        <v>15</v>
      </c>
      <c s="8" t="s" r="I10">
        <v>16</v>
      </c>
      <c t="s" r="J10"/>
      <c s="3" t="s" r="K10">
        <v>17</v>
      </c>
      <c t="s" r="L10"/>
      <c t="s" r="M10"/>
      <c t="s" r="N10"/>
    </row>
    <row>
      <c t="s" r="A11"/>
      <c t="s" r="B11"/>
      <c s="10" t="s" r="C11">
        <v>18</v>
      </c>
      <c s="7" t="s" r="D11">
        <v>19</v>
      </c>
      <c s="7" t="s" r="E11"/>
      <c s="7" t="s" r="F11"/>
      <c s="11" t="inlineStr" r="G11">
        <is>
          <t>✓</t>
        </is>
      </c>
      <c s="11" t="inlineStr" r="H11">
        <is>
          <t>
            <is>
              <t>✓</t>
            </is>
            ✓
          </t>
        </is>
      </c>
      <c s="11" t="inlineStr" r="I11">
        <is>
          <t>
            <is>
              <t>
                <is>
                  <t>✓</t>
                </is>
                ✓
              </t>
            </is>
            ✓
          </t>
        </is>
      </c>
      <c t="s" r="J11"/>
      <c s="3" t="s" r="K11">
        <v>20</v>
      </c>
      <c t="s" r="L11"/>
      <c t="s" r="M11"/>
      <c t="s" r="N11"/>
    </row>
    <row>
      <c t="s" r="A12"/>
      <c t="s" r="B12"/>
      <c s="10" t="s" r="C12">
        <v>21</v>
      </c>
      <c s="7" t="s" r="D12">
        <v>22</v>
      </c>
      <c s="7" t="s" r="E12"/>
      <c s="7" t="s" r="F12"/>
      <c s="11" t="inlineStr" r="G12">
        <is>
          <t>✓</t>
        </is>
      </c>
      <c s="11" t="inlineStr" r="H12">
        <is>
          <t>
            <is>
              <t>✓</t>
            </is>
            ✓
          </t>
        </is>
      </c>
      <c s="11" t="inlineStr" r="I12">
        <is>
          <t>
            <is>
              <t>
                <is>
                  <t>✓</t>
                </is>
                ✓
              </t>
            </is>
            ✓
          </t>
        </is>
      </c>
      <c t="s" r="J12"/>
      <c s="3" t="s" r="K12">
        <v>23</v>
      </c>
      <c t="s" r="L12"/>
      <c t="s" r="M12"/>
      <c t="s" r="N12"/>
    </row>
    <row>
      <c t="s" r="A13"/>
      <c t="s" r="B13"/>
      <c s="10" t="s" r="C13">
        <v>24</v>
      </c>
      <c s="7" t="s" r="D13">
        <v>25</v>
      </c>
      <c s="7" t="s" r="E13"/>
      <c s="7" t="s" r="F13"/>
      <c s="11" t="inlineStr" r="G13">
        <is>
          <t>✓</t>
        </is>
      </c>
      <c s="11" t="inlineStr" r="H13">
        <is>
          <t>
            <is>
              <t>✓</t>
            </is>
            ✓
          </t>
        </is>
      </c>
      <c s="11" t="inlineStr" r="I13">
        <is>
          <t>
            <is>
              <t>
                <is>
                  <t>✓</t>
                </is>
                ✓
              </t>
            </is>
            ✓
          </t>
        </is>
      </c>
      <c t="s" r="J13"/>
      <c t="s" r="K13"/>
      <c t="s" r="L13"/>
      <c t="s" r="M13"/>
      <c t="s" r="N13"/>
    </row>
    <row>
      <c t="s" r="A14"/>
      <c t="s" r="B14"/>
      <c s="12" t="s" r="C14">
        <v>26</v>
      </c>
      <c s="13" t="s" r="D14">
        <v>27</v>
      </c>
      <c s="13" t="s" r="E14"/>
      <c s="13" t="s" r="F14"/>
      <c s="11" t="inlineStr" r="G14">
        <is>
          <t>✓</t>
        </is>
      </c>
      <c s="11" t="inlineStr" r="H14">
        <is>
          <t>
            <is>
              <t>✓</t>
            </is>
            ✓
          </t>
        </is>
      </c>
      <c s="11" t="inlineStr" r="I14">
        <is>
          <t>
            <is>
              <t>
                <is>
                  <t>✓</t>
                </is>
                ✓
              </t>
            </is>
            ✓
          </t>
        </is>
      </c>
      <c t="s" r="J14"/>
      <c t="s" r="K14"/>
      <c t="s" r="L14"/>
      <c t="s" r="M14"/>
      <c t="s" r="N14"/>
    </row>
    <row>
      <c t="s" r="A15"/>
      <c t="s" r="B15"/>
      <c t="s" r="C15"/>
      <c t="s" r="D15"/>
      <c t="s" r="E15"/>
      <c t="s" r="F15"/>
      <c t="s" r="G15"/>
      <c t="s" r="H15"/>
      <c t="s" r="I15"/>
      <c t="s" r="J15"/>
      <c t="s" r="K15"/>
      <c t="s" r="L15"/>
      <c t="s" r="M15"/>
      <c t="s" r="N15"/>
    </row>
    <row>
      <c t="s" r="A16"/>
      <c t="s" r="B16"/>
      <c t="s" r="C16"/>
      <c t="s" r="D16"/>
      <c t="s" r="E16"/>
      <c t="s" r="F16"/>
      <c s="4" t="s" r="G16">
        <v>28</v>
      </c>
      <c s="5" t="s" r="H16">
        <v>29</v>
      </c>
      <c t="s" r="I16"/>
      <c t="s" r="J16"/>
      <c s="3" r="K16">
        <f>_xlfn.HYPERLINK("https://beeflambnz.com/industry-data/farm-data-and-industry-production/sheep-beef-farm-survey","Click here for more Survey Reports")</f>
      </c>
      <c t="s" r="L16"/>
      <c t="s" r="M16"/>
      <c t="s" r="N16"/>
    </row>
    <row>
      <c t="s" r="A17"/>
      <c t="s" r="B17"/>
      <c s="6" t="s" r="C17">
        <v>30</v>
      </c>
      <c s="7" t="s" r="D17"/>
      <c s="7" t="s" r="E17"/>
      <c s="7" t="s" r="F17"/>
      <c s="14" t="s" r="G17">
        <v>31</v>
      </c>
      <c s="8" t="s" r="H17">
        <v>32</v>
      </c>
      <c t="s" r="I17"/>
      <c t="s" r="J17"/>
      <c t="s" r="K17"/>
      <c t="s" r="L17"/>
      <c t="s" r="M17"/>
      <c t="s" r="N17"/>
    </row>
    <row>
      <c t="s" r="A18"/>
      <c t="s" r="B18"/>
      <c s="10" t="s" r="C18">
        <v>33</v>
      </c>
      <c s="7" t="s" r="D18">
        <v>34</v>
      </c>
      <c s="7" t="s" r="E18"/>
      <c s="7" t="s" r="F18"/>
      <c s="15" t="s" r="G18"/>
      <c s="15" t="s" r="H18"/>
      <c t="s" r="I18"/>
      <c t="s" r="J18"/>
      <c t="s" r="K18"/>
      <c t="s" r="L18"/>
      <c t="s" r="M18"/>
      <c t="s" r="N18"/>
    </row>
    <row>
      <c t="s" r="A19"/>
      <c t="s" r="B19"/>
      <c s="10" t="s" r="C19">
        <v>35</v>
      </c>
      <c s="7" t="s" r="D19">
        <v>36</v>
      </c>
      <c s="7" t="s" r="E19"/>
      <c s="7" t="s" r="F19"/>
      <c s="11" t="inlineStr" r="G19">
        <is>
          <t>✓</t>
        </is>
      </c>
      <c s="15" t="s" r="H19"/>
      <c t="s" r="I19"/>
      <c t="s" r="J19"/>
      <c t="s" r="K19"/>
      <c t="s" r="L19"/>
      <c t="s" r="M19"/>
      <c t="s" r="N19"/>
    </row>
    <row>
      <c t="s" r="A20"/>
      <c t="s" r="B20"/>
      <c s="10" t="s" r="C20">
        <v>37</v>
      </c>
      <c s="7" t="s" r="D20">
        <v>38</v>
      </c>
      <c s="7" t="s" r="E20"/>
      <c s="7" t="s" r="F20"/>
      <c s="11" t="inlineStr" r="G20">
        <is>
          <t>✓</t>
        </is>
      </c>
      <c s="11" t="inlineStr" r="H20">
        <is>
          <t>
            <is>
              <t>✓</t>
            </is>
            ✓
          </t>
        </is>
      </c>
      <c t="s" r="I20"/>
      <c t="s" r="J20"/>
      <c t="s" r="K20"/>
      <c t="s" r="L20"/>
      <c t="s" r="M20"/>
      <c t="s" r="N20"/>
    </row>
    <row>
      <c t="s" r="A21"/>
      <c t="s" r="B21"/>
      <c s="10" t="s" r="C21">
        <v>39</v>
      </c>
      <c s="7" t="s" r="D21">
        <v>40</v>
      </c>
      <c s="7" t="s" r="E21"/>
      <c s="7" t="s" r="F21"/>
      <c s="15" t="s" r="G21"/>
      <c s="11" t="inlineStr" r="H21">
        <is>
          <t>✓</t>
        </is>
      </c>
      <c t="s" r="I21"/>
      <c t="s" r="J21"/>
      <c t="s" r="K21"/>
      <c t="s" r="L21"/>
      <c t="s" r="M21"/>
      <c t="s" r="N21"/>
    </row>
    <row>
      <c t="s" r="A22"/>
      <c t="s" r="B22"/>
      <c s="10" t="s" r="C22">
        <v>41</v>
      </c>
      <c s="7" t="s" r="D22">
        <v>42</v>
      </c>
      <c s="7" t="s" r="E22"/>
      <c s="7" t="s" r="F22"/>
      <c s="11" t="inlineStr" r="G22">
        <is>
          <t>✓</t>
        </is>
      </c>
      <c s="15" t="s" r="H22"/>
      <c t="s" r="I22"/>
      <c t="s" r="J22"/>
      <c t="s" r="K22"/>
      <c t="s" r="L22"/>
      <c t="s" r="M22"/>
      <c t="s" r="N22"/>
    </row>
    <row>
      <c t="s" r="A23"/>
      <c t="s" r="B23"/>
      <c s="12" t="s" r="C23">
        <v>26</v>
      </c>
      <c s="13" t="s" r="D23">
        <v>27</v>
      </c>
      <c s="13" t="s" r="E23"/>
      <c s="13" t="s" r="F23"/>
      <c s="11" t="inlineStr" r="G23">
        <is>
          <t>✓</t>
        </is>
      </c>
      <c s="11" t="inlineStr" r="H23">
        <is>
          <t>
            <is>
              <t>✓</t>
            </is>
            ✓
          </t>
        </is>
      </c>
      <c t="s" r="I23"/>
      <c t="s" r="J23"/>
      <c t="s" r="K23"/>
      <c t="s" r="L23"/>
      <c t="s" r="M23"/>
      <c t="s" r="N23"/>
    </row>
    <row>
      <c t="s" r="A24"/>
      <c t="s" r="B24"/>
      <c t="s" r="C24"/>
      <c t="s" r="D24"/>
      <c t="s" r="E24"/>
      <c t="s" r="F24"/>
      <c t="s" r="G24"/>
      <c t="s" r="H24"/>
      <c t="s" r="I24"/>
      <c t="s" r="J24"/>
      <c t="s" r="K24"/>
      <c t="s" r="L24"/>
      <c t="s" r="M24"/>
      <c t="s" r="N24"/>
    </row>
    <row>
      <c t="s" r="A25"/>
      <c t="s" r="B25"/>
      <c s="6" t="s" r="C25">
        <v>43</v>
      </c>
      <c s="7" t="s" r="D25"/>
      <c s="7" t="s" r="E25"/>
      <c s="7" t="s" r="F25"/>
      <c s="11" t="s" r="G25">
        <v>44</v>
      </c>
      <c t="s" r="H25"/>
      <c t="s" r="I25"/>
      <c t="s" r="J25"/>
      <c t="s" r="K25"/>
      <c t="s" r="L25"/>
      <c t="s" r="M25"/>
      <c t="s" r="N25"/>
    </row>
    <row>
      <c t="s" r="A26"/>
      <c t="s" r="B26"/>
      <c s="10" t="s" r="C26">
        <v>33</v>
      </c>
      <c s="7" t="s" r="D26">
        <v>34</v>
      </c>
      <c s="7" t="s" r="E26"/>
      <c s="7" t="s" r="F26"/>
      <c s="11" t="inlineStr" r="G26">
        <is>
          <t>✓</t>
        </is>
      </c>
      <c t="s" r="H26"/>
      <c t="s" r="I26"/>
      <c t="s" r="J26"/>
      <c t="s" r="K26"/>
      <c t="s" r="L26"/>
      <c t="s" r="M26"/>
      <c t="s" r="N26"/>
    </row>
    <row>
      <c t="s" r="A27"/>
      <c t="s" r="B27"/>
      <c s="10" t="s" r="C27">
        <v>35</v>
      </c>
      <c s="7" t="s" r="D27">
        <v>36</v>
      </c>
      <c s="7" t="s" r="E27"/>
      <c s="7" t="s" r="F27"/>
      <c s="11" t="inlineStr" r="G27">
        <is>
          <t>✓</t>
        </is>
      </c>
      <c t="s" r="H27"/>
      <c t="s" r="I27"/>
      <c t="s" r="J27"/>
      <c t="s" r="K27"/>
      <c t="s" r="L27"/>
      <c t="s" r="M27"/>
      <c t="s" r="N27"/>
    </row>
    <row>
      <c t="s" r="A28"/>
      <c t="s" r="B28"/>
      <c s="10" t="s" r="C28">
        <v>18</v>
      </c>
      <c s="7" t="s" r="D28">
        <v>19</v>
      </c>
      <c s="7" t="s" r="E28"/>
      <c s="7" t="s" r="F28"/>
      <c s="11" t="inlineStr" r="G28">
        <is>
          <t>✓</t>
        </is>
      </c>
      <c t="s" r="H28"/>
      <c t="s" r="I28"/>
      <c t="s" r="J28"/>
      <c t="s" r="K28"/>
      <c t="s" r="L28"/>
      <c t="s" r="M28"/>
      <c t="s" r="N28"/>
    </row>
    <row>
      <c t="s" r="A29"/>
      <c t="s" r="B29"/>
      <c s="10" t="s" r="C29">
        <v>21</v>
      </c>
      <c s="7" t="s" r="D29">
        <v>22</v>
      </c>
      <c s="7" t="s" r="E29"/>
      <c s="7" t="s" r="F29"/>
      <c s="11" t="inlineStr" r="G29">
        <is>
          <t>✓</t>
        </is>
      </c>
      <c t="s" r="H29"/>
      <c t="s" r="I29"/>
      <c t="s" r="J29"/>
      <c t="s" r="K29"/>
      <c t="s" r="L29"/>
      <c t="s" r="M29"/>
      <c t="s" r="N29"/>
    </row>
    <row>
      <c t="s" r="A30"/>
      <c t="s" r="B30"/>
      <c s="10" t="s" r="C30">
        <v>24</v>
      </c>
      <c s="7" t="s" r="D30">
        <v>25</v>
      </c>
      <c s="7" t="s" r="E30"/>
      <c s="7" t="s" r="F30"/>
      <c s="11" t="inlineStr" r="G30">
        <is>
          <t>✓</t>
        </is>
      </c>
      <c t="s" r="H30"/>
      <c t="s" r="I30"/>
      <c t="s" r="J30"/>
      <c t="s" r="K30"/>
      <c t="s" r="L30"/>
      <c t="s" r="M30"/>
      <c t="s" r="N30"/>
    </row>
    <row>
      <c t="s" r="A31"/>
      <c t="s" r="B31"/>
      <c s="10" t="s" r="C31">
        <v>37</v>
      </c>
      <c s="7" t="s" r="D31">
        <v>38</v>
      </c>
      <c s="7" t="s" r="E31"/>
      <c s="7" t="s" r="F31"/>
      <c s="11" t="inlineStr" r="G31">
        <is>
          <t>✓</t>
        </is>
      </c>
      <c t="s" r="H31"/>
      <c t="s" r="I31"/>
      <c t="s" r="J31"/>
      <c t="s" r="K31"/>
      <c t="s" r="L31"/>
      <c t="s" r="M31"/>
      <c t="s" r="N31"/>
    </row>
    <row>
      <c t="s" r="A32"/>
      <c t="s" r="B32"/>
      <c s="10" t="s" r="C32">
        <v>39</v>
      </c>
      <c s="7" t="s" r="D32">
        <v>40</v>
      </c>
      <c s="7" t="s" r="E32"/>
      <c s="7" t="s" r="F32"/>
      <c s="11" t="inlineStr" r="G32">
        <is>
          <t>✓</t>
        </is>
      </c>
      <c t="s" r="H32"/>
      <c t="s" r="I32"/>
      <c t="s" r="J32"/>
      <c t="s" r="K32"/>
      <c t="s" r="L32"/>
      <c t="s" r="M32"/>
      <c t="s" r="N32"/>
    </row>
    <row>
      <c t="s" r="A33"/>
      <c t="s" r="B33"/>
      <c s="10" t="s" r="C33">
        <v>41</v>
      </c>
      <c s="7" t="s" r="D33">
        <v>42</v>
      </c>
      <c s="7" t="s" r="E33"/>
      <c s="7" t="s" r="F33"/>
      <c s="11" t="inlineStr" r="G33">
        <is>
          <t>✓</t>
        </is>
      </c>
      <c t="s" r="H33"/>
      <c t="s" r="I33"/>
      <c t="s" r="J33"/>
      <c t="s" r="K33"/>
      <c t="s" r="L33"/>
      <c t="s" r="M33"/>
      <c t="s" r="N33"/>
    </row>
    <row>
      <c t="s" r="A34"/>
      <c t="s" r="B34"/>
      <c s="12" t="s" r="C34">
        <v>26</v>
      </c>
      <c s="13" t="s" r="D34">
        <v>45</v>
      </c>
      <c s="13" t="s" r="E34"/>
      <c s="13" t="s" r="F34"/>
      <c s="11" t="inlineStr" r="G34">
        <is>
          <t>✓</t>
        </is>
      </c>
      <c t="s" r="H34"/>
      <c t="s" r="I34"/>
      <c t="s" r="J34"/>
      <c t="s" r="K34"/>
      <c t="s" r="L34"/>
      <c t="s" r="M34"/>
      <c t="s" r="N34"/>
    </row>
    <row>
      <c t="s" r="A35"/>
      <c t="s" r="B35"/>
      <c t="s" r="C35"/>
      <c t="s" r="D35"/>
      <c t="s" r="E35"/>
      <c t="s" r="F35"/>
      <c t="s" r="G35"/>
      <c t="s" r="H35"/>
      <c t="s" r="I35"/>
      <c t="s" r="J35"/>
      <c t="s" r="K35"/>
      <c t="s" r="L35"/>
      <c t="s" r="M35"/>
      <c t="s" r="N35"/>
    </row>
    <row>
      <c s="2" r="A36">
        <v>3</v>
      </c>
      <c t="s" r="B36">
        <v>46</v>
      </c>
      <c t="s" r="C36"/>
      <c t="s" r="D36"/>
      <c t="s" r="E36"/>
      <c t="s" r="F36"/>
      <c t="s" r="G36"/>
      <c t="s" r="H36"/>
      <c t="s" r="I36"/>
      <c t="s" r="J36"/>
      <c t="s" r="K36"/>
      <c t="s" r="L36"/>
      <c t="s" r="M36"/>
      <c t="s" r="N36"/>
    </row>
    <row>
      <c t="s" r="A37"/>
      <c t="s" r="B37">
        <v>47</v>
      </c>
      <c t="s" r="C37"/>
      <c t="s" r="D37"/>
      <c t="s" r="E37"/>
      <c t="s" r="F37"/>
      <c t="s" r="G37"/>
      <c t="s" r="H37"/>
      <c t="s" r="I37"/>
      <c t="s" r="J37"/>
      <c t="s" r="K37"/>
      <c t="s" r="L37"/>
      <c t="s" r="M37"/>
      <c t="s" r="N37"/>
    </row>
    <row>
      <c t="s" r="A38"/>
      <c t="s" r="B38">
        <v>48</v>
      </c>
      <c t="s" r="C38"/>
      <c t="s" r="D38"/>
      <c t="s" r="E38"/>
      <c t="s" r="F38"/>
      <c t="s" r="G38"/>
      <c t="s" r="H38"/>
      <c t="s" r="I38"/>
      <c t="s" r="J38"/>
      <c t="s" r="K38"/>
      <c t="s" r="L38"/>
      <c t="s" r="M38"/>
      <c t="s" r="N38"/>
    </row>
    <row>
      <c t="s" r="A39"/>
      <c t="s" r="B39"/>
      <c t="s" r="C39"/>
      <c t="s" r="D39"/>
      <c t="s" r="E39"/>
      <c t="s" r="F39"/>
      <c t="s" r="G39"/>
      <c t="s" r="H39"/>
      <c t="s" r="I39"/>
      <c t="s" r="J39"/>
      <c t="s" r="K39"/>
      <c t="s" r="L39"/>
      <c t="s" r="M39"/>
      <c t="s" r="N39"/>
    </row>
    <row>
      <c s="2" r="A40">
        <v>4</v>
      </c>
      <c t="s" r="B40">
        <v>49</v>
      </c>
      <c t="s" r="C40"/>
      <c t="s" r="D40"/>
      <c t="s" r="E40"/>
      <c t="s" r="F40"/>
      <c t="s" r="G40"/>
      <c t="s" r="H40"/>
      <c t="s" r="I40"/>
      <c t="s" r="J40"/>
      <c t="s" r="K40"/>
      <c t="s" r="L40"/>
      <c t="s" r="M40"/>
      <c t="s" r="N40"/>
    </row>
    <row>
      <c t="s" r="A41"/>
      <c t="s" r="B41"/>
      <c t="s" r="C41">
        <v>50</v>
      </c>
      <c t="s" r="D41"/>
      <c t="s" r="E41"/>
      <c t="s" r="F41"/>
      <c t="s" r="G41"/>
      <c t="s" r="H41"/>
      <c t="s" r="I41"/>
      <c t="s" r="J41"/>
      <c t="s" r="K41"/>
      <c t="s" r="L41"/>
      <c t="s" r="M41"/>
      <c t="s" r="N41"/>
    </row>
    <row>
      <c t="s" r="A42"/>
      <c t="s" r="B42"/>
      <c t="s" r="C42"/>
      <c t="s" r="D42"/>
      <c t="s" r="E42"/>
      <c t="s" r="F42"/>
      <c t="s" r="G42"/>
      <c t="s" r="H42"/>
      <c t="s" r="I42"/>
      <c t="s" r="J42"/>
      <c t="s" r="K42"/>
      <c t="s" r="L42"/>
      <c t="s" r="M42"/>
      <c t="s" r="N42"/>
    </row>
    <row>
      <c t="s" r="A43"/>
      <c t="s" r="B43"/>
      <c t="s" r="C43"/>
      <c t="s" r="D43"/>
      <c t="s" r="E43"/>
      <c t="s" r="F43"/>
      <c t="s" r="G43"/>
      <c t="s" r="H43"/>
      <c t="s" r="I43"/>
      <c t="s" r="J43"/>
      <c t="s" r="K43"/>
      <c t="s" r="L43"/>
      <c t="s" r="M43"/>
      <c t="s" r="N43"/>
    </row>
  </sheetData>
  <mergeCells count="9">
    <mergeCell ref="K5:N5"/>
    <mergeCell ref="K6:N6"/>
    <mergeCell ref="K7:N7"/>
    <mergeCell ref="K8:N8"/>
    <mergeCell ref="K9:N9"/>
    <mergeCell ref="K10:N10"/>
    <mergeCell ref="K11:N11"/>
    <mergeCell ref="K12:N12"/>
    <mergeCell ref="K16:N16"/>
  </mergeCells>
  <hyperlinks>
    <hyperlink ref="K5" location="'PerformanceIndicators-Farm'!A1" display="Performance Indicators Per Farm Analysis"/>
    <hyperlink ref="K6" location="'RevenueExpenseProfit-Farm'!A1" display="$ Per Farm Analysis"/>
    <hyperlink ref="K7" location="'RevenueExpenseProfit-SU'!A1" display="$ Per Stock Unit Analysis"/>
    <hyperlink ref="K8" location="'RevenueExpenseProfit-HA'!A1" display="$ Per Hectare Analysis"/>
    <hyperlink ref="K9" location="'CapitalStructure-Farm'!A1" display="Capital Structure $ per Farm"/>
    <hyperlink ref="K10" location="'CapitalStructure-SU'!A1" display="Capital Structure $ per Stock Unit"/>
    <hyperlink ref="K11" location="'CapitalStructure-HA'!A1" display="Capital Structure $ per Hectare"/>
    <hyperlink ref="K12" location="'FlowOfFunds-Farm'!A1" display="Flow of Funds $ per Farm"/>
  </hyperlinks>
  <printOptions gridLines="0" gridLinesSet="1"/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53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68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69</v>
      </c>
      <c s="23" r="C8">
        <v>423</v>
      </c>
      <c s="23" r="D8">
        <v>454</v>
      </c>
      <c s="23" r="E8">
        <v>457</v>
      </c>
      <c s="23" r="F8">
        <v>472</v>
      </c>
      <c s="23" r="G8">
        <v>499</v>
      </c>
      <c s="23" r="H8">
        <v>490</v>
      </c>
      <c s="23" r="I8">
        <v>478</v>
      </c>
      <c s="23" r="J8">
        <v>474</v>
      </c>
      <c s="23" r="K8">
        <v>474</v>
      </c>
      <c s="23" r="L8">
        <v>474</v>
      </c>
    </row>
    <row>
      <c s="22" r="A9">
        <v>2</v>
      </c>
      <c t="s" r="B9">
        <v>70</v>
      </c>
      <c s="24" r="C9">
        <v>1.68</v>
      </c>
      <c s="24" r="D9">
        <v>1.83</v>
      </c>
      <c s="24" r="E9">
        <v>1.87</v>
      </c>
      <c s="24" r="F9">
        <v>1.95</v>
      </c>
      <c s="24" r="G9">
        <v>2.05</v>
      </c>
      <c s="24" r="H9">
        <v>1.99</v>
      </c>
      <c s="24" r="I9">
        <v>1.94</v>
      </c>
      <c s="24" r="J9">
        <v>1.90</v>
      </c>
      <c t="s" r="K9"/>
      <c t="s" r="L9"/>
    </row>
    <row>
      <c s="22" r="A10">
        <v>3</v>
      </c>
      <c t="s" r="B10">
        <v>71</v>
      </c>
      <c s="25" r="C10">
        <v>3015</v>
      </c>
      <c s="25" r="D10">
        <v>3366</v>
      </c>
      <c s="25" r="E10">
        <v>3710</v>
      </c>
      <c s="25" r="F10">
        <v>3905</v>
      </c>
      <c s="25" r="G10">
        <v>4011</v>
      </c>
      <c s="25" r="H10">
        <v>3782</v>
      </c>
      <c s="25" r="I10">
        <v>4126</v>
      </c>
      <c s="25" r="J10">
        <v>3990</v>
      </c>
      <c s="25" r="K10">
        <v>3598</v>
      </c>
      <c s="25" r="L10">
        <v>3765</v>
      </c>
    </row>
    <row>
      <c s="22" r="A11">
        <v>4</v>
      </c>
      <c t="s" r="B11">
        <v>72</v>
      </c>
      <c s="26" r="C11">
        <v>7.1</v>
      </c>
      <c s="26" r="D11">
        <v>7.4</v>
      </c>
      <c s="26" r="E11">
        <v>8.1</v>
      </c>
      <c s="26" r="F11">
        <v>8.3</v>
      </c>
      <c s="26" r="G11">
        <v>8.0</v>
      </c>
      <c s="26" r="H11">
        <v>7.7</v>
      </c>
      <c s="26" r="I11">
        <v>8.6</v>
      </c>
      <c s="26" r="J11">
        <v>8.4</v>
      </c>
      <c t="s" r="K11"/>
      <c t="s" r="L11"/>
    </row>
    <row>
      <c t="s" r="A12"/>
      <c t="s" r="B12"/>
      <c t="s" r="C12"/>
      <c t="s" r="D12"/>
      <c t="s" r="E12"/>
      <c t="s" r="F12"/>
      <c t="s" r="G12"/>
      <c t="s" r="H12"/>
      <c t="s" r="I12"/>
      <c t="s" r="J12"/>
      <c t="s" r="K12"/>
      <c t="s" r="L12"/>
    </row>
    <row>
      <c t="s" r="A13"/>
      <c s="20" t="s" r="B13">
        <v>73</v>
      </c>
      <c t="s" r="C13"/>
      <c t="s" r="D13"/>
      <c t="s" r="E13"/>
      <c t="s" r="F13"/>
      <c t="s" r="G13"/>
      <c t="s" r="H13"/>
      <c t="s" r="I13"/>
      <c t="s" r="J13"/>
      <c t="s" r="K13"/>
      <c t="s" r="L13"/>
    </row>
    <row>
      <c s="22" r="A14">
        <v>5</v>
      </c>
      <c t="s" r="B14">
        <v>74</v>
      </c>
      <c s="27" r="C14">
        <v>141.0</v>
      </c>
      <c s="27" r="D14">
        <v>136.4</v>
      </c>
      <c s="27" r="E14">
        <v>145.2</v>
      </c>
      <c s="27" r="F14">
        <v>139.0</v>
      </c>
      <c s="27" r="G14">
        <v>135.2</v>
      </c>
      <c s="27" r="H14">
        <v>137.7</v>
      </c>
      <c s="27" r="I14">
        <v>139.0</v>
      </c>
      <c s="27" r="J14">
        <v>139.2</v>
      </c>
      <c s="27" r="K14">
        <v>134.0</v>
      </c>
      <c s="27" r="L14">
        <v>138.8</v>
      </c>
    </row>
    <row>
      <c s="22" r="A15">
        <v>6</v>
      </c>
      <c t="s" r="B15">
        <v>75</v>
      </c>
      <c s="26" r="C15">
        <v>5.9</v>
      </c>
      <c s="26" r="D15">
        <v>6.4</v>
      </c>
      <c s="26" r="E15">
        <v>6.5</v>
      </c>
      <c s="26" r="F15">
        <v>7.4</v>
      </c>
      <c s="26" r="G15">
        <v>7.1</v>
      </c>
      <c s="26" r="H15">
        <v>6.5</v>
      </c>
      <c s="26" r="I15">
        <v>6.5</v>
      </c>
      <c s="26" r="J15">
        <v>7.7</v>
      </c>
      <c s="26" r="K15">
        <v>7.4</v>
      </c>
      <c s="26" r="L15">
        <v>7.0</v>
      </c>
    </row>
    <row>
      <c s="22" r="A16">
        <v>7</v>
      </c>
      <c t="s" r="B16">
        <v>76</v>
      </c>
      <c s="28" r="C16">
        <v>84.4</v>
      </c>
      <c s="28" r="D16">
        <v>83.9</v>
      </c>
      <c s="28" r="E16">
        <v>86.1</v>
      </c>
      <c s="28" r="F16">
        <v>82.5</v>
      </c>
      <c s="28" r="G16">
        <v>79.1</v>
      </c>
      <c s="28" r="H16">
        <v>81.0</v>
      </c>
      <c s="28" r="I16">
        <v>85.7</v>
      </c>
      <c s="28" r="J16">
        <v>84.3</v>
      </c>
      <c s="28" r="K16">
        <v>82.7</v>
      </c>
      <c s="28" r="L16">
        <v>83.3</v>
      </c>
    </row>
    <row>
      <c s="22" r="A17">
        <v>8</v>
      </c>
      <c t="s" r="B17">
        <v>77</v>
      </c>
      <c s="28" r="C17">
        <v>84.2</v>
      </c>
      <c s="28" r="D17">
        <v>82.6</v>
      </c>
      <c s="28" r="E17">
        <v>82.6</v>
      </c>
      <c s="28" r="F17">
        <v>82.6</v>
      </c>
      <c s="28" r="G17">
        <v>85.7</v>
      </c>
      <c s="28" r="H17">
        <v>85.2</v>
      </c>
      <c s="28" r="I17">
        <v>85.2</v>
      </c>
      <c s="28" r="J17">
        <v>87.5</v>
      </c>
      <c s="28" r="K17">
        <v>80.0</v>
      </c>
      <c s="28" r="L17">
        <v>82.6</v>
      </c>
    </row>
    <row>
      <c t="s" r="A18"/>
      <c t="s" r="B18"/>
      <c t="s" r="C18"/>
      <c t="s" r="D18"/>
      <c t="s" r="E18"/>
      <c t="s" r="F18"/>
      <c t="s" r="G18"/>
      <c t="s" r="H18"/>
      <c t="s" r="I18"/>
      <c t="s" r="J18"/>
      <c t="s" r="K18"/>
      <c t="s" r="L18"/>
    </row>
    <row>
      <c s="22" r="A19">
        <v>9</v>
      </c>
      <c t="s" r="B19">
        <v>78</v>
      </c>
      <c s="24" r="C19">
        <v>4.01</v>
      </c>
      <c s="24" r="D19">
        <v>4.54</v>
      </c>
      <c s="24" r="E19">
        <v>4.85</v>
      </c>
      <c s="24" r="F19">
        <v>3.51</v>
      </c>
      <c s="24" r="G19">
        <v>5.04</v>
      </c>
      <c s="24" r="H19">
        <v>4.35</v>
      </c>
      <c s="24" r="I19">
        <v>4.24</v>
      </c>
      <c s="24" r="J19">
        <v>4.04</v>
      </c>
      <c s="24" r="K19">
        <v>3.85</v>
      </c>
      <c s="24" r="L19">
        <v>4.09</v>
      </c>
    </row>
    <row>
      <c s="29" r="A20">
        <v>10</v>
      </c>
      <c t="s" r="B20">
        <v>79</v>
      </c>
      <c s="24" r="C20">
        <v>4.62</v>
      </c>
      <c s="24" r="D20">
        <v>5.04</v>
      </c>
      <c s="24" r="E20">
        <v>5.39</v>
      </c>
      <c s="24" r="F20">
        <v>3.88</v>
      </c>
      <c s="24" r="G20">
        <v>5.57</v>
      </c>
      <c s="24" r="H20">
        <v>4.78</v>
      </c>
      <c s="24" r="I20">
        <v>4.72</v>
      </c>
      <c s="24" r="J20">
        <v>4.51</v>
      </c>
      <c s="24" r="K20">
        <v>4.25</v>
      </c>
      <c s="24" r="L20">
        <v>4.57</v>
      </c>
    </row>
    <row>
      <c t="s" r="A21"/>
      <c t="s" r="B21"/>
      <c t="s" r="C21"/>
      <c t="s" r="D21"/>
      <c t="s" r="E21"/>
      <c t="s" r="F21"/>
      <c t="s" r="G21"/>
      <c t="s" r="H21"/>
      <c t="s" r="I21"/>
      <c t="s" r="J21"/>
      <c t="s" r="K21"/>
      <c t="s" r="L21"/>
    </row>
    <row>
      <c t="s" r="A22"/>
      <c s="20" t="s" r="B22">
        <v>80</v>
      </c>
      <c t="s" r="C22"/>
      <c t="s" r="D22"/>
      <c t="s" r="E22"/>
      <c t="s" r="F22"/>
      <c t="s" r="G22"/>
      <c t="s" r="H22"/>
      <c t="s" r="I22"/>
      <c t="s" r="J22"/>
      <c t="s" r="K22"/>
      <c t="s" r="L22"/>
    </row>
    <row>
      <c s="29" r="A23">
        <v>11</v>
      </c>
      <c t="s" r="B23">
        <v>81</v>
      </c>
      <c s="27" r="C23">
        <v>304.5</v>
      </c>
      <c s="27" r="D23">
        <v>248.8</v>
      </c>
      <c s="27" r="E23">
        <v>250.5</v>
      </c>
      <c s="27" r="F23">
        <v>230.9</v>
      </c>
      <c s="27" r="G23">
        <v>156.4</v>
      </c>
      <c s="27" r="H23">
        <v>192.3</v>
      </c>
      <c s="27" r="I23">
        <v>199.6</v>
      </c>
      <c s="27" r="J23">
        <v>214.9</v>
      </c>
      <c s="27" r="K23">
        <v>230.0</v>
      </c>
      <c s="27" r="L23">
        <v>235.0</v>
      </c>
    </row>
    <row>
      <c t="s" r="A24"/>
      <c t="s" r="B24"/>
      <c t="s" r="C24"/>
      <c t="s" r="D24"/>
      <c t="s" r="E24"/>
      <c t="s" r="F24"/>
      <c t="s" r="G24"/>
      <c t="s" r="H24"/>
      <c t="s" r="I24"/>
      <c t="s" r="J24"/>
      <c t="s" r="K24"/>
      <c t="s" r="L24"/>
    </row>
    <row>
      <c s="29" r="A25">
        <v>12</v>
      </c>
      <c t="s" r="B25">
        <v>82</v>
      </c>
      <c s="30" r="C25">
        <v>97.95</v>
      </c>
      <c s="31" r="D25">
        <v>129.62</v>
      </c>
      <c s="31" r="E25">
        <v>128.81</v>
      </c>
      <c s="31" r="F25">
        <v>138.51</v>
      </c>
      <c s="31" r="G25">
        <v>121.06</v>
      </c>
      <c s="31" r="H25">
        <v>160.04</v>
      </c>
      <c s="31" r="I25">
        <v>135.22</v>
      </c>
      <c s="31" r="J25">
        <v>110.20</v>
      </c>
      <c s="31" r="K25">
        <v>158.00</v>
      </c>
      <c s="31" r="L25">
        <v>160.00</v>
      </c>
    </row>
    <row>
      <c s="29" r="A26">
        <v>13</v>
      </c>
      <c t="s" r="B26">
        <v>83</v>
      </c>
      <c s="30" r="C26">
        <v>82.29</v>
      </c>
      <c s="30" r="D26">
        <v>95.97</v>
      </c>
      <c s="31" r="E26">
        <v>102.13</v>
      </c>
      <c s="30" r="F26">
        <v>98.47</v>
      </c>
      <c s="30" r="G26">
        <v>87.99</v>
      </c>
      <c s="31" r="H26">
        <v>113.78</v>
      </c>
      <c s="31" r="I26">
        <v>104.86</v>
      </c>
      <c s="30" r="J26">
        <v>81.22</v>
      </c>
      <c s="31" r="K26">
        <v>117.00</v>
      </c>
      <c s="31" r="L26">
        <v>118.40</v>
      </c>
    </row>
    <row>
      <c s="29" r="A27">
        <v>14</v>
      </c>
      <c t="s" r="B27">
        <v>84</v>
      </c>
      <c s="30" r="C27">
        <v>85.41</v>
      </c>
      <c s="31" r="D27">
        <v>128.84</v>
      </c>
      <c s="31" r="E27">
        <v>139.37</v>
      </c>
      <c s="31" r="F27">
        <v>155.53</v>
      </c>
      <c s="31" r="G27">
        <v>137.68</v>
      </c>
      <c s="31" r="H27">
        <v>167.86</v>
      </c>
      <c s="31" r="I27">
        <v>119.47</v>
      </c>
      <c s="30" r="J27">
        <v>74.88</v>
      </c>
      <c s="31" r="K27">
        <v>106.00</v>
      </c>
      <c s="31" r="L27">
        <v>110.10</v>
      </c>
    </row>
    <row>
      <c s="29" r="A28">
        <v>15</v>
      </c>
      <c t="s" r="B28">
        <v>85</v>
      </c>
      <c s="31" r="C28">
        <v>120.11</v>
      </c>
      <c s="31" r="D28">
        <v>129.40</v>
      </c>
      <c s="31" r="E28">
        <v>165.10</v>
      </c>
      <c s="31" r="F28">
        <v>164.01</v>
      </c>
      <c s="31" r="G28">
        <v>142.60</v>
      </c>
      <c s="31" r="H28">
        <v>169.64</v>
      </c>
      <c s="31" r="I28">
        <v>164.20</v>
      </c>
      <c s="31" r="J28">
        <v>113.89</v>
      </c>
      <c s="31" r="K28">
        <v>200.00</v>
      </c>
      <c s="31" r="L28">
        <v>205.00</v>
      </c>
    </row>
    <row>
      <c s="29" r="A29">
        <v>16</v>
      </c>
      <c t="s" r="B29">
        <v>86</v>
      </c>
      <c s="30" r="C29">
        <v>37.51</v>
      </c>
      <c s="31" r="D29">
        <v>103.31</v>
      </c>
      <c s="31" r="E29">
        <v>141.38</v>
      </c>
      <c s="31" r="F29">
        <v>149.77</v>
      </c>
      <c s="31" r="G29">
        <v>156.40</v>
      </c>
      <c s="31" r="H29">
        <v>146.49</v>
      </c>
      <c s="31" r="I29">
        <v>127.50</v>
      </c>
      <c s="30" r="J29">
        <v>68.09</v>
      </c>
      <c t="s" r="K29"/>
      <c t="s" r="L29"/>
    </row>
    <row>
      <c s="29" r="A30">
        <v>17</v>
      </c>
      <c t="s" r="B30">
        <v>87</v>
      </c>
      <c s="31" r="C30">
        <v>160.42</v>
      </c>
      <c s="31" r="D30">
        <v>220.48</v>
      </c>
      <c s="31" r="E30">
        <v>254.50</v>
      </c>
      <c s="31" r="F30">
        <v>278.34</v>
      </c>
      <c s="31" r="G30">
        <v>223.20</v>
      </c>
      <c s="31" r="H30">
        <v>238.97</v>
      </c>
      <c s="31" r="I30">
        <v>255.39</v>
      </c>
      <c s="31" r="J30">
        <v>202.02</v>
      </c>
      <c s="31" r="K30">
        <v>282.90</v>
      </c>
      <c s="31" r="L30">
        <v>289.30</v>
      </c>
    </row>
    <row>
      <c t="s" r="A31"/>
      <c t="s" r="B31"/>
      <c t="s" r="C31"/>
      <c t="s" r="D31"/>
      <c t="s" r="E31"/>
      <c t="s" r="F31"/>
      <c t="s" r="G31"/>
      <c t="s" r="H31"/>
      <c t="s" r="I31"/>
      <c t="s" r="J31"/>
      <c t="s" r="K31"/>
      <c t="s" r="L31"/>
    </row>
    <row>
      <c s="29" r="A32">
        <v>18</v>
      </c>
      <c t="s" r="B32">
        <v>88</v>
      </c>
      <c s="32" r="C32">
        <v>1580.33</v>
      </c>
      <c s="32" r="D32">
        <v>1562.25</v>
      </c>
      <c s="32" r="E32">
        <v>1378.58</v>
      </c>
      <c s="32" r="F32">
        <v>1492.59</v>
      </c>
      <c s="32" r="G32">
        <v>1298.22</v>
      </c>
      <c s="32" r="H32">
        <v>1588.33</v>
      </c>
      <c s="32" r="I32">
        <v>1728.42</v>
      </c>
      <c s="32" r="J32">
        <v>1530.73</v>
      </c>
      <c s="32" r="K32">
        <v>1697.00</v>
      </c>
      <c s="32" r="L32">
        <v>1705.00</v>
      </c>
    </row>
    <row>
      <c s="29" r="A33">
        <v>19</v>
      </c>
      <c t="s" r="B33">
        <v>89</v>
      </c>
      <c s="32" r="C33">
        <v>1691.01</v>
      </c>
      <c s="32" r="D33">
        <v>1674.99</v>
      </c>
      <c s="32" r="E33">
        <v>1705.70</v>
      </c>
      <c s="32" r="F33">
        <v>1742.55</v>
      </c>
      <c s="32" r="G33">
        <v>1573.56</v>
      </c>
      <c s="32" r="H33">
        <v>1890.95</v>
      </c>
      <c s="32" r="I33">
        <v>1894.96</v>
      </c>
      <c s="32" r="J33">
        <v>1802.69</v>
      </c>
      <c s="32" r="K33">
        <v>2162.00</v>
      </c>
      <c s="32" r="L33">
        <v>2190.00</v>
      </c>
    </row>
    <row>
      <c s="29" r="A34">
        <v>20</v>
      </c>
      <c t="s" r="B34">
        <v>90</v>
      </c>
      <c s="32" r="C34">
        <v>1535.38</v>
      </c>
      <c s="32" r="D34">
        <v>1495.89</v>
      </c>
      <c s="32" r="E34">
        <v>1420.32</v>
      </c>
      <c s="32" r="F34">
        <v>1450.80</v>
      </c>
      <c s="32" r="G34">
        <v>1401.51</v>
      </c>
      <c s="32" r="H34">
        <v>1706.99</v>
      </c>
      <c s="32" r="I34">
        <v>1665.59</v>
      </c>
      <c s="32" r="J34">
        <v>1591.92</v>
      </c>
      <c s="32" r="K34">
        <v>1766.00</v>
      </c>
      <c s="32" r="L34">
        <v>1785.00</v>
      </c>
    </row>
    <row>
      <c s="29" r="A35">
        <v>21</v>
      </c>
      <c t="s" r="B35">
        <v>91</v>
      </c>
      <c s="32" r="C35">
        <v>1091.68</v>
      </c>
      <c s="32" r="D35">
        <v>1078.68</v>
      </c>
      <c s="32" r="E35">
        <v>1000.43</v>
      </c>
      <c s="31" r="F35">
        <v>935.04</v>
      </c>
      <c s="31" r="G35">
        <v>936.61</v>
      </c>
      <c s="32" r="H35">
        <v>1180.58</v>
      </c>
      <c s="32" r="I35">
        <v>1098.12</v>
      </c>
      <c s="32" r="J35">
        <v>1146.83</v>
      </c>
      <c s="32" r="K35">
        <v>1443.00</v>
      </c>
      <c s="32" r="L35">
        <v>1445.00</v>
      </c>
    </row>
    <row>
      <c s="29" r="A36">
        <v>22</v>
      </c>
      <c t="s" r="B36">
        <v>92</v>
      </c>
      <c s="32" r="C36">
        <v>1215.74</v>
      </c>
      <c s="32" r="D36">
        <v>1141.28</v>
      </c>
      <c s="32" r="E36">
        <v>1184.00</v>
      </c>
      <c s="31" r="F36">
        <v>979.25</v>
      </c>
      <c s="31" r="G36">
        <v>791.35</v>
      </c>
      <c s="31" r="H36">
        <v>837.50</v>
      </c>
      <c s="32" r="I36">
        <v>1228.59</v>
      </c>
      <c s="32" r="J36">
        <v>1367.84</v>
      </c>
      <c s="32" r="K36">
        <v>1517.00</v>
      </c>
      <c s="32" r="L36">
        <v>1533.00</v>
      </c>
    </row>
    <row>
      <c s="29" r="A37">
        <v>23</v>
      </c>
      <c t="s" r="B37">
        <v>93</v>
      </c>
      <c s="32" r="C37">
        <v>1231.27</v>
      </c>
      <c s="32" r="D37">
        <v>1199.43</v>
      </c>
      <c s="32" r="E37">
        <v>1269.25</v>
      </c>
      <c s="32" r="F37">
        <v>1140.09</v>
      </c>
      <c s="31" r="G37">
        <v>961.49</v>
      </c>
      <c s="32" r="H37">
        <v>1197.76</v>
      </c>
      <c s="32" r="I37">
        <v>1286.25</v>
      </c>
      <c s="32" r="J37">
        <v>1275.58</v>
      </c>
      <c s="32" r="K37">
        <v>1415.00</v>
      </c>
      <c s="32" r="L37">
        <v>1421.00</v>
      </c>
    </row>
    <row>
      <c s="29" r="A38">
        <v>24</v>
      </c>
      <c t="s" r="B38">
        <v>94</v>
      </c>
      <c s="32" r="C38">
        <v>1237.12</v>
      </c>
      <c s="32" r="D38">
        <v>1309.94</v>
      </c>
      <c s="32" r="E38">
        <v>1232.20</v>
      </c>
      <c s="32" r="F38">
        <v>1196.63</v>
      </c>
      <c s="31" r="G38">
        <v>887.02</v>
      </c>
      <c s="32" r="H38">
        <v>1033.28</v>
      </c>
      <c s="32" r="I38">
        <v>1049.45</v>
      </c>
      <c s="32" r="J38">
        <v>1105.12</v>
      </c>
      <c s="32" r="K38">
        <v>1218.00</v>
      </c>
      <c s="32" r="L38">
        <v>1222.00</v>
      </c>
    </row>
    <row>
      <c t="s" r="A39"/>
      <c t="s" r="B39"/>
      <c t="s" r="C39"/>
      <c t="s" r="D39"/>
      <c t="s" r="E39"/>
      <c t="s" r="F39"/>
      <c t="s" r="G39"/>
      <c t="s" r="H39"/>
      <c t="s" r="I39"/>
      <c t="s" r="J39"/>
      <c t="s" r="K39"/>
      <c t="s" r="L39"/>
    </row>
    <row>
      <c t="s" r="A40"/>
      <c s="20" t="s" r="B40">
        <v>95</v>
      </c>
      <c t="s" r="C40"/>
      <c t="s" r="D40"/>
      <c t="s" r="E40"/>
      <c t="s" r="F40"/>
      <c t="s" r="G40"/>
      <c t="s" r="H40"/>
      <c t="s" r="I40"/>
      <c t="s" r="J40"/>
      <c t="s" r="K40"/>
      <c t="s" r="L40"/>
    </row>
    <row>
      <c s="29" r="A41">
        <v>25</v>
      </c>
      <c t="s" r="B41">
        <v>96</v>
      </c>
      <c s="30" r="C41">
        <v>47.87</v>
      </c>
      <c s="31" r="D41">
        <v>190.92</v>
      </c>
      <c s="31" r="E41">
        <v>148.36</v>
      </c>
      <c s="31" r="F41">
        <v>169.87</v>
      </c>
      <c s="30" r="G41">
        <v>15.80</v>
      </c>
      <c s="31" r="H41">
        <v>205.35</v>
      </c>
      <c s="30" r="I41">
        <v>58.16</v>
      </c>
      <c s="33" r="J41">
        <v>-101.70</v>
      </c>
      <c s="31" r="K41">
        <v>161.90</v>
      </c>
      <c s="31" r="L41">
        <v>157.17</v>
      </c>
    </row>
    <row>
      <c s="29" r="A42">
        <v>26</v>
      </c>
      <c t="s" r="B42">
        <v>97</v>
      </c>
      <c s="24" r="C42">
        <v>6.72</v>
      </c>
      <c s="30" r="D42">
        <v>25.75</v>
      </c>
      <c s="30" r="E42">
        <v>18.28</v>
      </c>
      <c s="30" r="F42">
        <v>20.53</v>
      </c>
      <c s="24" r="G42">
        <v>1.97</v>
      </c>
      <c s="30" r="H42">
        <v>26.61</v>
      </c>
      <c s="24" r="I42">
        <v>6.74</v>
      </c>
      <c s="31" r="J42">
        <v>-12.08</v>
      </c>
      <c s="30" r="K42">
        <v>21.33</v>
      </c>
      <c s="30" r="L42">
        <v>19.79</v>
      </c>
    </row>
    <row>
      <c s="29" r="A43">
        <v>27</v>
      </c>
      <c t="s" r="B43">
        <v>98</v>
      </c>
      <c s="31" r="C43">
        <v>335.05</v>
      </c>
      <c s="31" r="D43">
        <v>506.97</v>
      </c>
      <c s="31" r="E43">
        <v>480.28</v>
      </c>
      <c s="31" r="F43">
        <v>507.12</v>
      </c>
      <c s="31" r="G43">
        <v>342.40</v>
      </c>
      <c s="31" r="H43">
        <v>565.26</v>
      </c>
      <c s="31" r="I43">
        <v>441.72</v>
      </c>
      <c s="31" r="J43">
        <v>278.74</v>
      </c>
      <c s="31" r="K43">
        <v>540.51</v>
      </c>
      <c s="31" r="L43">
        <v>539.87</v>
      </c>
    </row>
    <row>
      <c s="29" r="A44">
        <v>28</v>
      </c>
      <c t="s" r="B44">
        <v>99</v>
      </c>
      <c s="30" r="C44">
        <v>47.01</v>
      </c>
      <c s="30" r="D44">
        <v>68.38</v>
      </c>
      <c s="30" r="E44">
        <v>59.16</v>
      </c>
      <c s="30" r="F44">
        <v>61.30</v>
      </c>
      <c s="30" r="G44">
        <v>42.60</v>
      </c>
      <c s="30" r="H44">
        <v>73.24</v>
      </c>
      <c s="30" r="I44">
        <v>51.17</v>
      </c>
      <c s="30" r="J44">
        <v>33.11</v>
      </c>
      <c s="30" r="K44">
        <v>71.21</v>
      </c>
      <c s="30" r="L44">
        <v>67.97</v>
      </c>
    </row>
    <row>
      <c s="29" r="A45">
        <v>29</v>
      </c>
      <c t="s" r="B45">
        <v>100</v>
      </c>
      <c s="26" r="C45">
        <v>0.3</v>
      </c>
      <c s="26" r="D45">
        <v>1.1</v>
      </c>
      <c s="26" r="E45">
        <v>0.8</v>
      </c>
      <c s="26" r="F45">
        <v>0.9</v>
      </c>
      <c s="26" r="G45">
        <v>0.1</v>
      </c>
      <c s="26" r="H45">
        <v>1.0</v>
      </c>
      <c s="26" r="I45">
        <v>0.3</v>
      </c>
      <c s="28" r="J45">
        <v>-0.5</v>
      </c>
      <c s="26" r="K45">
        <v>0.8</v>
      </c>
      <c s="26" r="L45">
        <v>0.7</v>
      </c>
    </row>
    <row>
      <c s="29" r="A46">
        <v>30</v>
      </c>
      <c t="s" r="B46">
        <v>101</v>
      </c>
      <c s="29" r="C46">
        <v>76</v>
      </c>
      <c s="29" r="D46">
        <v>72</v>
      </c>
      <c s="29" r="E46">
        <v>71</v>
      </c>
      <c s="29" r="F46">
        <v>71</v>
      </c>
      <c s="29" r="G46">
        <v>72</v>
      </c>
      <c s="29" r="H46">
        <v>73</v>
      </c>
      <c s="29" r="I46">
        <v>75</v>
      </c>
      <c s="29" r="J46">
        <v>79</v>
      </c>
      <c s="29" r="K46">
        <v>80</v>
      </c>
      <c s="29" r="L46">
        <v>80</v>
      </c>
    </row>
    <row>
      <c t="s" r="A47"/>
      <c t="s" r="B47"/>
      <c t="s" r="C47"/>
      <c t="s" r="D47"/>
      <c t="s" r="E47"/>
      <c t="s" r="F47"/>
      <c t="s" r="G47"/>
      <c t="s" r="H47"/>
      <c t="s" r="I47"/>
      <c t="s" r="J47"/>
      <c t="s" r="K47"/>
      <c t="s" r="L47"/>
    </row>
    <row>
      <c t="s" r="A48"/>
      <c s="21" t="s" r="B48">
        <v>102</v>
      </c>
      <c s="34" r="C48">
        <f>_xlfn.HYPERLINK("mailto:econ@beeflambnz.com","econ@beeflambnz.com")</f>
      </c>
      <c t="s" r="D48"/>
      <c t="s" r="E48"/>
      <c s="19" t="s" r="F48">
        <v>54</v>
      </c>
      <c t="s" r="G48"/>
      <c t="s" r="H48"/>
      <c t="s" r="I48"/>
      <c t="s" r="J48"/>
      <c t="s" r="K48"/>
      <c s="21" t="s" r="L48">
        <v>103</v>
      </c>
    </row>
  </sheetData>
  <mergeCells count="1">
    <mergeCell ref="C48:E48"/>
  </mergeCells>
  <hyperlinks>
    <hyperlink ref="L2" location="Notes!A1" display="Notes tab"/>
    <hyperlink ref="F48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104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105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106</v>
      </c>
      <c s="35" r="C8">
        <v>28824</v>
      </c>
      <c s="35" r="D8">
        <v>24945</v>
      </c>
      <c s="35" r="E8">
        <v>28206</v>
      </c>
      <c s="35" r="F8">
        <v>22669</v>
      </c>
      <c s="35" r="G8">
        <v>17233</v>
      </c>
      <c s="35" r="H8">
        <v>20758</v>
      </c>
      <c s="35" r="I8">
        <v>21964</v>
      </c>
      <c s="35" r="J8">
        <v>22027</v>
      </c>
      <c s="35" r="K8">
        <v>21100</v>
      </c>
      <c s="35" r="L8">
        <v>22300</v>
      </c>
    </row>
    <row>
      <c s="22" r="A9">
        <v>2</v>
      </c>
      <c t="s" r="B9">
        <v>107</v>
      </c>
      <c s="36" r="C9">
        <v>197184</v>
      </c>
      <c s="36" r="D9">
        <v>272213</v>
      </c>
      <c s="36" r="E9">
        <v>292908</v>
      </c>
      <c s="36" r="F9">
        <v>325105</v>
      </c>
      <c s="36" r="G9">
        <v>286383</v>
      </c>
      <c s="36" r="H9">
        <v>378537</v>
      </c>
      <c s="36" r="I9">
        <v>339074</v>
      </c>
      <c s="36" r="J9">
        <v>260731</v>
      </c>
      <c s="36" r="K9">
        <v>344600</v>
      </c>
      <c s="36" r="L9">
        <v>338800</v>
      </c>
    </row>
    <row>
      <c s="22" r="A10">
        <v>3</v>
      </c>
      <c t="s" r="B10">
        <v>108</v>
      </c>
      <c s="36" r="C10">
        <v>120772</v>
      </c>
      <c s="36" r="D10">
        <v>149977</v>
      </c>
      <c s="36" r="E10">
        <v>151181</v>
      </c>
      <c s="36" r="F10">
        <v>164007</v>
      </c>
      <c s="36" r="G10">
        <v>147813</v>
      </c>
      <c s="36" r="H10">
        <v>173533</v>
      </c>
      <c s="36" r="I10">
        <v>167414</v>
      </c>
      <c s="36" r="J10">
        <v>147787</v>
      </c>
      <c s="36" r="K10">
        <v>192600</v>
      </c>
      <c s="36" r="L10">
        <v>214600</v>
      </c>
    </row>
    <row>
      <c s="22" r="A11">
        <v>4</v>
      </c>
      <c t="s" r="B11">
        <v>109</v>
      </c>
      <c s="35" r="C11">
        <v>33735</v>
      </c>
      <c s="35" r="D11">
        <v>48529</v>
      </c>
      <c s="35" r="E11">
        <v>71337</v>
      </c>
      <c s="35" r="F11">
        <v>79539</v>
      </c>
      <c s="35" r="G11">
        <v>79098</v>
      </c>
      <c s="35" r="H11">
        <v>91282</v>
      </c>
      <c s="35" r="I11">
        <v>68026</v>
      </c>
      <c s="35" r="J11">
        <v>73380</v>
      </c>
      <c s="35" r="K11">
        <v>70300</v>
      </c>
      <c s="35" r="L11">
        <v>73400</v>
      </c>
    </row>
    <row>
      <c s="22" r="A12">
        <v>5</v>
      </c>
      <c t="s" r="B12">
        <v>110</v>
      </c>
      <c s="25" r="C12">
        <v>6245</v>
      </c>
      <c s="25" r="D12">
        <v>9652</v>
      </c>
      <c s="35" r="E12">
        <v>14466</v>
      </c>
      <c s="35" r="F12">
        <v>10831</v>
      </c>
      <c s="25" r="G12">
        <v>9195</v>
      </c>
      <c s="35" r="H12">
        <v>10678</v>
      </c>
      <c s="35" r="I12">
        <v>11592</v>
      </c>
      <c s="35" r="J12">
        <v>15931</v>
      </c>
      <c s="35" r="K12">
        <v>16400</v>
      </c>
      <c s="35" r="L12">
        <v>14200</v>
      </c>
    </row>
    <row>
      <c s="22" r="A13">
        <v>6</v>
      </c>
      <c t="s" r="B13">
        <v>111</v>
      </c>
      <c s="35" r="C13">
        <v>19242</v>
      </c>
      <c s="35" r="D13">
        <v>40692</v>
      </c>
      <c s="35" r="E13">
        <v>55596</v>
      </c>
      <c s="35" r="F13">
        <v>74614</v>
      </c>
      <c s="35" r="G13">
        <v>86455</v>
      </c>
      <c s="35" r="H13">
        <v>85067</v>
      </c>
      <c s="35" r="I13">
        <v>37291</v>
      </c>
      <c s="35" r="J13">
        <v>37578</v>
      </c>
      <c s="35" r="K13">
        <v>38500</v>
      </c>
      <c s="35" r="L13">
        <v>39000</v>
      </c>
    </row>
    <row>
      <c s="22" r="A14">
        <v>7</v>
      </c>
      <c t="s" r="B14">
        <v>112</v>
      </c>
      <c s="35" r="C14">
        <v>38018</v>
      </c>
      <c s="35" r="D14">
        <v>51603</v>
      </c>
      <c s="35" r="E14">
        <v>48183</v>
      </c>
      <c s="35" r="F14">
        <v>34748</v>
      </c>
      <c s="35" r="G14">
        <v>33416</v>
      </c>
      <c s="35" r="H14">
        <v>58350</v>
      </c>
      <c s="35" r="I14">
        <v>58668</v>
      </c>
      <c s="35" r="J14">
        <v>38393</v>
      </c>
      <c s="35" r="K14">
        <v>40300</v>
      </c>
      <c s="35" r="L14">
        <v>40500</v>
      </c>
    </row>
    <row>
      <c s="37" r="A15">
        <v>8</v>
      </c>
      <c s="20" t="s" r="B15">
        <v>113</v>
      </c>
      <c s="38" r="C15">
        <v>444020</v>
      </c>
      <c s="38" r="D15">
        <v>597611</v>
      </c>
      <c s="38" r="E15">
        <v>661877</v>
      </c>
      <c s="38" r="F15">
        <v>711513</v>
      </c>
      <c s="38" r="G15">
        <v>659593</v>
      </c>
      <c s="38" r="H15">
        <v>818205</v>
      </c>
      <c s="38" r="I15">
        <v>704029</v>
      </c>
      <c s="38" r="J15">
        <v>595827</v>
      </c>
      <c s="38" r="K15">
        <v>723800</v>
      </c>
      <c s="38" r="L15">
        <v>742800</v>
      </c>
    </row>
    <row>
      <c t="s" r="A16"/>
      <c t="s" r="B16"/>
      <c t="s" r="C16"/>
      <c t="s" r="D16"/>
      <c t="s" r="E16"/>
      <c t="s" r="F16"/>
      <c t="s" r="G16"/>
      <c t="s" r="H16"/>
      <c t="s" r="I16"/>
      <c t="s" r="J16"/>
      <c t="s" r="K16"/>
      <c t="s" r="L16"/>
    </row>
    <row>
      <c t="s" r="A17"/>
      <c s="20" t="s" r="B17">
        <v>114</v>
      </c>
      <c t="s" r="C17"/>
      <c t="s" r="D17"/>
      <c t="s" r="E17"/>
      <c t="s" r="F17"/>
      <c t="s" r="G17"/>
      <c t="s" r="H17"/>
      <c t="s" r="I17"/>
      <c t="s" r="J17"/>
      <c t="s" r="K17"/>
      <c t="s" r="L17"/>
    </row>
    <row>
      <c s="22" r="A18">
        <v>9</v>
      </c>
      <c t="s" r="B18">
        <v>115</v>
      </c>
      <c s="35" r="C18">
        <v>20137</v>
      </c>
      <c s="35" r="D18">
        <v>26068</v>
      </c>
      <c s="35" r="E18">
        <v>32772</v>
      </c>
      <c s="35" r="F18">
        <v>35326</v>
      </c>
      <c s="35" r="G18">
        <v>43628</v>
      </c>
      <c s="35" r="H18">
        <v>41324</v>
      </c>
      <c s="35" r="I18">
        <v>37387</v>
      </c>
      <c s="35" r="J18">
        <v>38756</v>
      </c>
      <c s="35" r="K18">
        <v>39500</v>
      </c>
      <c s="35" r="L18">
        <v>40300</v>
      </c>
    </row>
    <row>
      <c s="29" r="A19">
        <v>10</v>
      </c>
      <c t="s" r="B19">
        <v>116</v>
      </c>
      <c s="35" r="C19">
        <v>17156</v>
      </c>
      <c s="35" r="D19">
        <v>20001</v>
      </c>
      <c s="35" r="E19">
        <v>22639</v>
      </c>
      <c s="35" r="F19">
        <v>23294</v>
      </c>
      <c s="35" r="G19">
        <v>25059</v>
      </c>
      <c s="35" r="H19">
        <v>26325</v>
      </c>
      <c s="35" r="I19">
        <v>28454</v>
      </c>
      <c s="35" r="J19">
        <v>25203</v>
      </c>
      <c s="35" r="K19">
        <v>24100</v>
      </c>
      <c s="35" r="L19">
        <v>26000</v>
      </c>
    </row>
    <row>
      <c s="29" r="A20">
        <v>11</v>
      </c>
      <c t="s" r="B20">
        <v>117</v>
      </c>
      <c s="35" r="C20">
        <v>13248</v>
      </c>
      <c s="35" r="D20">
        <v>23766</v>
      </c>
      <c s="35" r="E20">
        <v>19671</v>
      </c>
      <c s="35" r="F20">
        <v>18670</v>
      </c>
      <c s="35" r="G20">
        <v>33025</v>
      </c>
      <c s="35" r="H20">
        <v>35382</v>
      </c>
      <c s="35" r="I20">
        <v>28626</v>
      </c>
      <c s="35" r="J20">
        <v>26394</v>
      </c>
      <c s="35" r="K20">
        <v>26100</v>
      </c>
      <c s="35" r="L20">
        <v>26900</v>
      </c>
    </row>
    <row>
      <c s="29" r="A21">
        <v>12</v>
      </c>
      <c t="s" r="B21">
        <v>118</v>
      </c>
      <c s="35" r="C21">
        <v>13365</v>
      </c>
      <c s="35" r="D21">
        <v>14247</v>
      </c>
      <c s="35" r="E21">
        <v>18809</v>
      </c>
      <c s="35" r="F21">
        <v>19153</v>
      </c>
      <c s="35" r="G21">
        <v>19629</v>
      </c>
      <c s="35" r="H21">
        <v>20786</v>
      </c>
      <c s="35" r="I21">
        <v>24689</v>
      </c>
      <c s="35" r="J21">
        <v>22320</v>
      </c>
      <c s="35" r="K21">
        <v>21200</v>
      </c>
      <c s="35" r="L21">
        <v>22200</v>
      </c>
    </row>
    <row>
      <c s="29" r="A22">
        <v>13</v>
      </c>
      <c t="s" r="B22">
        <v>119</v>
      </c>
      <c s="35" r="C22">
        <v>38934</v>
      </c>
      <c s="35" r="D22">
        <v>47945</v>
      </c>
      <c s="35" r="E22">
        <v>60592</v>
      </c>
      <c s="35" r="F22">
        <v>66032</v>
      </c>
      <c s="35" r="G22">
        <v>65979</v>
      </c>
      <c s="35" r="H22">
        <v>82953</v>
      </c>
      <c s="35" r="I22">
        <v>70202</v>
      </c>
      <c s="35" r="J22">
        <v>62868</v>
      </c>
      <c s="35" r="K22">
        <v>65300</v>
      </c>
      <c s="35" r="L22">
        <v>74500</v>
      </c>
    </row>
    <row>
      <c s="29" r="A23">
        <v>14</v>
      </c>
      <c t="s" r="B23">
        <v>120</v>
      </c>
      <c s="25" r="C23">
        <v>2482</v>
      </c>
      <c s="25" r="D23">
        <v>2917</v>
      </c>
      <c s="25" r="E23">
        <v>3818</v>
      </c>
      <c s="25" r="F23">
        <v>4927</v>
      </c>
      <c s="25" r="G23">
        <v>3550</v>
      </c>
      <c s="25" r="H23">
        <v>2278</v>
      </c>
      <c s="25" r="I23">
        <v>2470</v>
      </c>
      <c s="25" r="J23">
        <v>2801</v>
      </c>
      <c s="25" r="K23">
        <v>2300</v>
      </c>
      <c s="25" r="L23">
        <v>2200</v>
      </c>
    </row>
    <row>
      <c s="29" r="A24">
        <v>15</v>
      </c>
      <c t="s" r="B24">
        <v>121</v>
      </c>
      <c s="35" r="C24">
        <v>11594</v>
      </c>
      <c s="35" r="D24">
        <v>16963</v>
      </c>
      <c s="35" r="E24">
        <v>14417</v>
      </c>
      <c s="35" r="F24">
        <v>14396</v>
      </c>
      <c s="35" r="G24">
        <v>19375</v>
      </c>
      <c s="35" r="H24">
        <v>19560</v>
      </c>
      <c s="35" r="I24">
        <v>16596</v>
      </c>
      <c s="35" r="J24">
        <v>15553</v>
      </c>
      <c s="35" r="K24">
        <v>15500</v>
      </c>
      <c s="35" r="L24">
        <v>15800</v>
      </c>
    </row>
    <row>
      <c s="29" r="A25">
        <v>16</v>
      </c>
      <c t="s" r="B25">
        <v>122</v>
      </c>
      <c s="35" r="C25">
        <v>11632</v>
      </c>
      <c s="35" r="D25">
        <v>14351</v>
      </c>
      <c s="35" r="E25">
        <v>18508</v>
      </c>
      <c s="35" r="F25">
        <v>17619</v>
      </c>
      <c s="35" r="G25">
        <v>20282</v>
      </c>
      <c s="35" r="H25">
        <v>20676</v>
      </c>
      <c s="35" r="I25">
        <v>17532</v>
      </c>
      <c s="35" r="J25">
        <v>17029</v>
      </c>
      <c s="35" r="K25">
        <v>17400</v>
      </c>
      <c s="35" r="L25">
        <v>17700</v>
      </c>
    </row>
    <row>
      <c s="29" r="A26">
        <v>17</v>
      </c>
      <c t="s" r="B26">
        <v>123</v>
      </c>
      <c s="35" r="C26">
        <v>10137</v>
      </c>
      <c s="35" r="D26">
        <v>14130</v>
      </c>
      <c s="35" r="E26">
        <v>16226</v>
      </c>
      <c s="35" r="F26">
        <v>16389</v>
      </c>
      <c s="35" r="G26">
        <v>14843</v>
      </c>
      <c s="35" r="H26">
        <v>23535</v>
      </c>
      <c s="35" r="I26">
        <v>23646</v>
      </c>
      <c s="35" r="J26">
        <v>21272</v>
      </c>
      <c s="35" r="K26">
        <v>21500</v>
      </c>
      <c s="35" r="L26">
        <v>21900</v>
      </c>
    </row>
    <row>
      <c s="29" r="A27">
        <v>18</v>
      </c>
      <c t="s" r="B27">
        <v>124</v>
      </c>
      <c s="25" r="C27">
        <v>3071</v>
      </c>
      <c s="25" r="D27">
        <v>3668</v>
      </c>
      <c s="25" r="E27">
        <v>4541</v>
      </c>
      <c s="25" r="F27">
        <v>4725</v>
      </c>
      <c s="25" r="G27">
        <v>4487</v>
      </c>
      <c s="25" r="H27">
        <v>4389</v>
      </c>
      <c s="25" r="I27">
        <v>4438</v>
      </c>
      <c s="25" r="J27">
        <v>4329</v>
      </c>
      <c s="25" r="K27">
        <v>4600</v>
      </c>
      <c s="25" r="L27">
        <v>4700</v>
      </c>
    </row>
    <row>
      <c s="29" r="A28">
        <v>19</v>
      </c>
      <c t="s" r="B28">
        <v>125</v>
      </c>
      <c s="35" r="C28">
        <v>32672</v>
      </c>
      <c s="35" r="D28">
        <v>33257</v>
      </c>
      <c s="35" r="E28">
        <v>35656</v>
      </c>
      <c s="35" r="F28">
        <v>33584</v>
      </c>
      <c s="35" r="G28">
        <v>33975</v>
      </c>
      <c s="35" r="H28">
        <v>42331</v>
      </c>
      <c s="35" r="I28">
        <v>31856</v>
      </c>
      <c s="35" r="J28">
        <v>32564</v>
      </c>
      <c s="35" r="K28">
        <v>33200</v>
      </c>
      <c s="35" r="L28">
        <v>33900</v>
      </c>
    </row>
    <row>
      <c s="29" r="A29">
        <v>20</v>
      </c>
      <c t="s" r="B29">
        <v>126</v>
      </c>
      <c t="s" r="C29"/>
      <c t="s" r="D29"/>
      <c t="s" r="E29"/>
      <c s="25" r="F29">
        <v>3018</v>
      </c>
      <c s="25" r="G29">
        <v>3800</v>
      </c>
      <c s="25" r="H29">
        <v>4203</v>
      </c>
      <c s="25" r="I29">
        <v>4270</v>
      </c>
      <c s="25" r="J29">
        <v>4275</v>
      </c>
      <c s="25" r="K29">
        <v>4400</v>
      </c>
      <c s="25" r="L29">
        <v>4400</v>
      </c>
    </row>
    <row>
      <c s="29" r="A30">
        <v>21</v>
      </c>
      <c t="s" r="B30">
        <v>127</v>
      </c>
      <c s="25" r="C30">
        <v>8825</v>
      </c>
      <c s="35" r="D30">
        <v>11319</v>
      </c>
      <c s="35" r="E30">
        <v>18364</v>
      </c>
      <c s="35" r="F30">
        <v>25724</v>
      </c>
      <c s="35" r="G30">
        <v>26930</v>
      </c>
      <c s="35" r="H30">
        <v>23358</v>
      </c>
      <c s="35" r="I30">
        <v>20239</v>
      </c>
      <c s="35" r="J30">
        <v>23650</v>
      </c>
      <c s="35" r="K30">
        <v>20100</v>
      </c>
      <c s="35" r="L30">
        <v>20900</v>
      </c>
    </row>
    <row>
      <c s="29" r="A31">
        <v>22</v>
      </c>
      <c t="s" r="B31">
        <v>128</v>
      </c>
      <c s="25" r="C31">
        <v>7541</v>
      </c>
      <c s="35" r="D31">
        <v>10041</v>
      </c>
      <c s="35" r="E31">
        <v>13606</v>
      </c>
      <c s="35" r="F31">
        <v>11183</v>
      </c>
      <c s="35" r="G31">
        <v>11599</v>
      </c>
      <c s="35" r="H31">
        <v>14990</v>
      </c>
      <c s="35" r="I31">
        <v>13941</v>
      </c>
      <c s="35" r="J31">
        <v>13960</v>
      </c>
      <c s="35" r="K31">
        <v>14200</v>
      </c>
      <c s="35" r="L31">
        <v>14500</v>
      </c>
    </row>
    <row>
      <c s="29" r="A32">
        <v>23</v>
      </c>
      <c t="s" r="B32">
        <v>129</v>
      </c>
      <c s="23" r="C32">
        <v>796</v>
      </c>
      <c s="25" r="D32">
        <v>1763</v>
      </c>
      <c s="35" r="E32">
        <v>19563</v>
      </c>
      <c s="35" r="F32">
        <v>22816</v>
      </c>
      <c s="25" r="G32">
        <v>4437</v>
      </c>
      <c s="25" r="H32">
        <v>4348</v>
      </c>
      <c s="23" r="I32">
        <v>704</v>
      </c>
      <c s="25" r="J32">
        <v>1136</v>
      </c>
      <c s="25" r="K32">
        <v>1100</v>
      </c>
      <c s="25" r="L32">
        <v>1100</v>
      </c>
    </row>
    <row>
      <c s="29" r="A33">
        <v>24</v>
      </c>
      <c t="s" r="B33">
        <v>130</v>
      </c>
      <c s="35" r="C33">
        <v>25588</v>
      </c>
      <c s="35" r="D33">
        <v>28149</v>
      </c>
      <c s="35" r="E33">
        <v>37077</v>
      </c>
      <c s="35" r="F33">
        <v>42660</v>
      </c>
      <c s="35" r="G33">
        <v>36799</v>
      </c>
      <c s="35" r="H33">
        <v>47622</v>
      </c>
      <c s="35" r="I33">
        <v>49780</v>
      </c>
      <c s="35" r="J33">
        <v>34727</v>
      </c>
      <c s="35" r="K33">
        <v>37500</v>
      </c>
      <c s="35" r="L33">
        <v>38300</v>
      </c>
    </row>
    <row>
      <c s="29" r="A34">
        <v>25</v>
      </c>
      <c t="s" r="B34">
        <v>131</v>
      </c>
      <c s="25" r="C34">
        <v>5385</v>
      </c>
      <c s="25" r="D34">
        <v>8430</v>
      </c>
      <c s="25" r="E34">
        <v>7445</v>
      </c>
      <c s="25" r="F34">
        <v>7232</v>
      </c>
      <c s="25" r="G34">
        <v>9337</v>
      </c>
      <c s="35" r="H34">
        <v>12512</v>
      </c>
      <c s="25" r="I34">
        <v>9042</v>
      </c>
      <c s="25" r="J34">
        <v>7849</v>
      </c>
      <c s="25" r="K34">
        <v>8100</v>
      </c>
      <c s="25" r="L34">
        <v>8200</v>
      </c>
    </row>
    <row>
      <c s="29" r="A35">
        <v>26</v>
      </c>
      <c t="s" r="B35">
        <v>132</v>
      </c>
      <c s="35" r="C35">
        <v>12834</v>
      </c>
      <c s="35" r="D35">
        <v>13685</v>
      </c>
      <c s="35" r="E35">
        <v>15466</v>
      </c>
      <c s="35" r="F35">
        <v>16420</v>
      </c>
      <c s="35" r="G35">
        <v>15470</v>
      </c>
      <c s="35" r="H35">
        <v>18765</v>
      </c>
      <c s="35" r="I35">
        <v>19063</v>
      </c>
      <c s="35" r="J35">
        <v>19656</v>
      </c>
      <c s="35" r="K35">
        <v>20500</v>
      </c>
      <c s="35" r="L35">
        <v>21000</v>
      </c>
    </row>
    <row>
      <c s="39" r="A36">
        <v>27</v>
      </c>
      <c s="20" t="s" r="B36">
        <v>133</v>
      </c>
      <c s="38" r="C36">
        <v>235397</v>
      </c>
      <c s="38" r="D36">
        <v>290700</v>
      </c>
      <c s="38" r="E36">
        <v>359170</v>
      </c>
      <c s="38" r="F36">
        <v>383168</v>
      </c>
      <c s="38" r="G36">
        <v>392204</v>
      </c>
      <c s="38" r="H36">
        <v>445337</v>
      </c>
      <c s="38" r="I36">
        <v>402935</v>
      </c>
      <c s="38" r="J36">
        <v>374342</v>
      </c>
      <c s="38" r="K36">
        <v>376600</v>
      </c>
      <c s="38" r="L36">
        <v>394500</v>
      </c>
    </row>
    <row>
      <c t="s" r="A37"/>
      <c t="s" r="B37"/>
      <c t="s" r="C37"/>
      <c t="s" r="D37"/>
      <c t="s" r="E37"/>
      <c t="s" r="F37"/>
      <c t="s" r="G37"/>
      <c t="s" r="H37"/>
      <c t="s" r="I37"/>
      <c t="s" r="J37"/>
      <c t="s" r="K37"/>
      <c t="s" r="L37"/>
    </row>
    <row>
      <c s="29" r="A38">
        <v>28</v>
      </c>
      <c t="s" r="B38">
        <v>134</v>
      </c>
      <c s="25" r="C38">
        <v>8175</v>
      </c>
      <c s="25" r="D38">
        <v>9716</v>
      </c>
      <c s="35" r="E38">
        <v>10955</v>
      </c>
      <c s="35" r="F38">
        <v>11775</v>
      </c>
      <c s="35" r="G38">
        <v>13028</v>
      </c>
      <c s="35" r="H38">
        <v>13748</v>
      </c>
      <c s="35" r="I38">
        <v>13318</v>
      </c>
      <c s="35" r="J38">
        <v>15247</v>
      </c>
      <c s="35" r="K38">
        <v>17100</v>
      </c>
      <c s="35" r="L38">
        <v>17400</v>
      </c>
    </row>
    <row>
      <c s="29" r="A39">
        <v>29</v>
      </c>
      <c t="s" r="B39">
        <v>135</v>
      </c>
      <c s="25" r="C39">
        <v>2588</v>
      </c>
      <c s="25" r="D39">
        <v>2637</v>
      </c>
      <c s="25" r="E39">
        <v>3208</v>
      </c>
      <c s="25" r="F39">
        <v>2332</v>
      </c>
      <c s="25" r="G39">
        <v>4838</v>
      </c>
      <c s="25" r="H39">
        <v>3271</v>
      </c>
      <c s="25" r="I39">
        <v>3200</v>
      </c>
      <c s="25" r="J39">
        <v>3086</v>
      </c>
      <c s="25" r="K39">
        <v>3100</v>
      </c>
      <c s="25" r="L39">
        <v>3200</v>
      </c>
    </row>
    <row>
      <c s="29" r="A40">
        <v>30</v>
      </c>
      <c t="s" r="B40">
        <v>136</v>
      </c>
      <c s="35" r="C40">
        <v>12590</v>
      </c>
      <c s="35" r="D40">
        <v>14102</v>
      </c>
      <c s="35" r="E40">
        <v>14806</v>
      </c>
      <c s="35" r="F40">
        <v>15249</v>
      </c>
      <c s="35" r="G40">
        <v>15844</v>
      </c>
      <c s="35" r="H40">
        <v>17508</v>
      </c>
      <c s="35" r="I40">
        <v>18350</v>
      </c>
      <c s="35" r="J40">
        <v>18898</v>
      </c>
      <c s="35" r="K40">
        <v>20000</v>
      </c>
      <c s="35" r="L40">
        <v>20400</v>
      </c>
    </row>
    <row>
      <c s="29" r="A41">
        <v>31</v>
      </c>
      <c t="s" r="B41">
        <v>137</v>
      </c>
      <c s="25" r="C41">
        <v>1229</v>
      </c>
      <c s="25" r="D41">
        <v>2258</v>
      </c>
      <c s="25" r="E41">
        <v>2461</v>
      </c>
      <c s="25" r="F41">
        <v>2981</v>
      </c>
      <c s="25" r="G41">
        <v>3328</v>
      </c>
      <c s="25" r="H41">
        <v>2995</v>
      </c>
      <c s="25" r="I41">
        <v>3067</v>
      </c>
      <c s="25" r="J41">
        <v>3269</v>
      </c>
      <c s="25" r="K41">
        <v>3300</v>
      </c>
      <c s="25" r="L41">
        <v>3400</v>
      </c>
    </row>
    <row>
      <c s="29" r="A42">
        <v>32</v>
      </c>
      <c t="s" r="B42">
        <v>138</v>
      </c>
      <c s="35" r="C42">
        <v>47033</v>
      </c>
      <c s="35" r="D42">
        <v>61326</v>
      </c>
      <c s="35" r="E42">
        <v>62663</v>
      </c>
      <c s="35" r="F42">
        <v>65106</v>
      </c>
      <c s="35" r="G42">
        <v>55820</v>
      </c>
      <c s="35" r="H42">
        <v>55380</v>
      </c>
      <c s="35" r="I42">
        <v>80596</v>
      </c>
      <c s="36" r="J42">
        <v>102067</v>
      </c>
      <c s="35" r="K42">
        <v>91000</v>
      </c>
      <c s="35" r="L42">
        <v>83100</v>
      </c>
    </row>
    <row>
      <c s="29" r="A43">
        <v>33</v>
      </c>
      <c t="s" r="B43">
        <v>139</v>
      </c>
      <c s="35" r="C43">
        <v>12072</v>
      </c>
      <c s="35" r="D43">
        <v>26770</v>
      </c>
      <c s="35" r="E43">
        <v>28388</v>
      </c>
      <c s="35" r="F43">
        <v>30192</v>
      </c>
      <c s="35" r="G43">
        <v>36683</v>
      </c>
      <c s="35" r="H43">
        <v>36756</v>
      </c>
      <c s="35" r="I43">
        <v>14366</v>
      </c>
      <c s="35" r="J43">
        <v>10910</v>
      </c>
      <c s="35" r="K43">
        <v>11100</v>
      </c>
      <c s="35" r="L43">
        <v>11400</v>
      </c>
    </row>
    <row>
      <c s="39" r="A44">
        <v>34</v>
      </c>
      <c s="20" t="s" r="B44">
        <v>140</v>
      </c>
      <c s="40" r="C44">
        <v>83687</v>
      </c>
      <c s="38" r="D44">
        <v>116809</v>
      </c>
      <c s="38" r="E44">
        <v>122481</v>
      </c>
      <c s="38" r="F44">
        <v>127635</v>
      </c>
      <c s="38" r="G44">
        <v>129541</v>
      </c>
      <c s="38" r="H44">
        <v>129658</v>
      </c>
      <c s="38" r="I44">
        <v>132897</v>
      </c>
      <c s="38" r="J44">
        <v>153477</v>
      </c>
      <c s="38" r="K44">
        <v>145600</v>
      </c>
      <c s="38" r="L44">
        <v>138900</v>
      </c>
    </row>
    <row>
      <c s="39" r="A45">
        <v>35</v>
      </c>
      <c s="20" t="s" r="B45">
        <v>141</v>
      </c>
      <c s="38" r="C45">
        <v>319084</v>
      </c>
      <c s="38" r="D45">
        <v>407509</v>
      </c>
      <c s="38" r="E45">
        <v>481651</v>
      </c>
      <c s="38" r="F45">
        <v>510803</v>
      </c>
      <c s="38" r="G45">
        <v>521745</v>
      </c>
      <c s="38" r="H45">
        <v>574995</v>
      </c>
      <c s="38" r="I45">
        <v>535832</v>
      </c>
      <c s="38" r="J45">
        <v>527819</v>
      </c>
      <c s="38" r="K45">
        <v>522200</v>
      </c>
      <c s="38" r="L45">
        <v>533400</v>
      </c>
    </row>
    <row>
      <c s="29" r="A46">
        <v>36</v>
      </c>
      <c t="s" r="B46">
        <v>142</v>
      </c>
      <c s="35" r="C46">
        <v>42314</v>
      </c>
      <c s="35" r="D46">
        <v>48035</v>
      </c>
      <c s="35" r="E46">
        <v>51789</v>
      </c>
      <c s="35" r="F46">
        <v>56647</v>
      </c>
      <c s="35" r="G46">
        <v>59494</v>
      </c>
      <c s="35" r="H46">
        <v>58371</v>
      </c>
      <c s="35" r="I46">
        <v>52019</v>
      </c>
      <c s="35" r="J46">
        <v>48860</v>
      </c>
      <c s="35" r="K46">
        <v>47500</v>
      </c>
      <c s="35" r="L46">
        <v>48000</v>
      </c>
    </row>
    <row>
      <c s="39" r="A47">
        <v>37</v>
      </c>
      <c s="20" t="s" r="B47">
        <v>143</v>
      </c>
      <c s="38" r="C47">
        <v>361398</v>
      </c>
      <c s="38" r="D47">
        <v>455544</v>
      </c>
      <c s="38" r="E47">
        <v>533440</v>
      </c>
      <c s="38" r="F47">
        <v>567450</v>
      </c>
      <c s="38" r="G47">
        <v>581239</v>
      </c>
      <c s="38" r="H47">
        <v>633366</v>
      </c>
      <c s="38" r="I47">
        <v>587851</v>
      </c>
      <c s="38" r="J47">
        <v>576679</v>
      </c>
      <c s="38" r="K47">
        <v>569700</v>
      </c>
      <c s="38" r="L47">
        <v>581400</v>
      </c>
    </row>
    <row>
      <c t="s" r="A48"/>
      <c t="s" r="B48"/>
      <c t="s" r="C48"/>
      <c t="s" r="D48"/>
      <c t="s" r="E48"/>
      <c t="s" r="F48"/>
      <c t="s" r="G48"/>
      <c t="s" r="H48"/>
      <c t="s" r="I48"/>
      <c t="s" r="J48"/>
      <c t="s" r="K48"/>
      <c t="s" r="L48"/>
    </row>
    <row>
      <c s="39" r="A49">
        <v>38</v>
      </c>
      <c s="20" t="s" r="B49">
        <v>144</v>
      </c>
      <c s="40" r="C49">
        <v>82622</v>
      </c>
      <c s="38" r="D49">
        <v>142067</v>
      </c>
      <c s="38" r="E49">
        <v>128437</v>
      </c>
      <c s="38" r="F49">
        <v>144063</v>
      </c>
      <c s="40" r="G49">
        <v>78354</v>
      </c>
      <c s="38" r="H49">
        <v>184839</v>
      </c>
      <c s="38" r="I49">
        <v>116178</v>
      </c>
      <c s="40" r="J49">
        <v>19148</v>
      </c>
      <c s="38" r="K49">
        <v>154100</v>
      </c>
      <c s="38" r="L49">
        <v>161400</v>
      </c>
    </row>
    <row>
      <c t="s" r="A50"/>
      <c t="s" r="B50"/>
      <c t="s" r="C50"/>
      <c t="s" r="D50"/>
      <c t="s" r="E50"/>
      <c t="s" r="F50"/>
      <c t="s" r="G50"/>
      <c t="s" r="H50"/>
      <c t="s" r="I50"/>
      <c t="s" r="J50"/>
      <c t="s" r="K50"/>
      <c t="s" r="L50"/>
    </row>
    <row>
      <c t="s" r="A51"/>
      <c s="21" t="s" r="B51">
        <v>102</v>
      </c>
      <c s="34" r="C51">
        <f>_xlfn.HYPERLINK("mailto:econ@beeflambnz.com","econ@beeflambnz.com")</f>
      </c>
      <c t="s" r="D51"/>
      <c t="s" r="E51"/>
      <c s="19" t="s" r="F51">
        <v>54</v>
      </c>
      <c t="s" r="G51"/>
      <c t="s" r="H51"/>
      <c t="s" r="I51"/>
      <c t="s" r="J51"/>
      <c t="s" r="K51"/>
      <c s="21" t="s" r="L51">
        <v>103</v>
      </c>
    </row>
  </sheetData>
  <mergeCells count="1">
    <mergeCell ref="C51:E51"/>
  </mergeCells>
  <hyperlinks>
    <hyperlink ref="L2" location="Notes!A1" display="Notes tab"/>
    <hyperlink ref="F51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145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146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147</v>
      </c>
      <c s="30" r="C8">
        <v>15.87</v>
      </c>
      <c s="30" r="D8">
        <v>12.86</v>
      </c>
      <c s="30" r="E8">
        <v>13.53</v>
      </c>
      <c s="30" r="F8">
        <v>10.16</v>
      </c>
      <c s="24" r="G8">
        <v>7.72</v>
      </c>
      <c s="24" r="H8">
        <v>9.65</v>
      </c>
      <c s="24" r="I8">
        <v>9.47</v>
      </c>
      <c s="24" r="J8">
        <v>9.56</v>
      </c>
      <c s="30" r="K8">
        <v>10.24</v>
      </c>
      <c s="30" r="L8">
        <v>10.59</v>
      </c>
    </row>
    <row>
      <c s="22" r="A9">
        <v>2</v>
      </c>
      <c t="s" r="B9">
        <v>148</v>
      </c>
      <c s="31" r="C9">
        <v>108.58</v>
      </c>
      <c s="31" r="D9">
        <v>140.32</v>
      </c>
      <c s="31" r="E9">
        <v>140.48</v>
      </c>
      <c s="31" r="F9">
        <v>145.72</v>
      </c>
      <c s="31" r="G9">
        <v>128.25</v>
      </c>
      <c s="31" r="H9">
        <v>175.98</v>
      </c>
      <c s="31" r="I9">
        <v>146.22</v>
      </c>
      <c s="31" r="J9">
        <v>113.21</v>
      </c>
      <c s="31" r="K9">
        <v>167.28</v>
      </c>
      <c s="31" r="L9">
        <v>160.95</v>
      </c>
    </row>
    <row>
      <c s="22" r="A10">
        <v>3</v>
      </c>
      <c t="s" r="B10">
        <v>149</v>
      </c>
      <c s="31" r="C10">
        <v>124.45</v>
      </c>
      <c s="31" r="D10">
        <v>153.18</v>
      </c>
      <c s="31" r="E10">
        <v>154.01</v>
      </c>
      <c s="31" r="F10">
        <v>155.88</v>
      </c>
      <c s="31" r="G10">
        <v>135.97</v>
      </c>
      <c s="31" r="H10">
        <v>185.63</v>
      </c>
      <c s="31" r="I10">
        <v>155.69</v>
      </c>
      <c s="31" r="J10">
        <v>122.77</v>
      </c>
      <c s="31" r="K10">
        <v>177.52</v>
      </c>
      <c s="31" r="L10">
        <v>171.54</v>
      </c>
    </row>
    <row>
      <c s="22" r="A11">
        <v>4</v>
      </c>
      <c s="41" t="s" r="B11">
        <v>150</v>
      </c>
      <c s="24" r="C11">
        <v>7.36</v>
      </c>
      <c s="24" r="D11">
        <v>7.34</v>
      </c>
      <c s="24" r="E11">
        <v>9.02</v>
      </c>
      <c s="24" r="F11">
        <v>8.58</v>
      </c>
      <c s="24" r="G11">
        <v>8.79</v>
      </c>
      <c s="24" r="H11">
        <v>9.66</v>
      </c>
      <c s="30" r="I11">
        <v>10.65</v>
      </c>
      <c s="24" r="J11">
        <v>9.69</v>
      </c>
      <c s="30" r="K11">
        <v>10.29</v>
      </c>
      <c s="30" r="L11">
        <v>10.55</v>
      </c>
    </row>
    <row>
      <c s="22" r="A12">
        <v>5</v>
      </c>
      <c t="s" r="B12">
        <v>151</v>
      </c>
      <c s="31" r="C12">
        <v>134.64</v>
      </c>
      <c s="31" r="D12">
        <v>141.49</v>
      </c>
      <c s="31" r="E12">
        <v>120.85</v>
      </c>
      <c s="31" r="F12">
        <v>134.87</v>
      </c>
      <c s="31" r="G12">
        <v>115.30</v>
      </c>
      <c s="31" r="H12">
        <v>143.89</v>
      </c>
      <c s="31" r="I12">
        <v>125.69</v>
      </c>
      <c s="31" r="J12">
        <v>123.05</v>
      </c>
      <c s="31" r="K12">
        <v>178.83</v>
      </c>
      <c s="31" r="L12">
        <v>177.36</v>
      </c>
    </row>
    <row>
      <c s="22" r="A13">
        <v>6</v>
      </c>
      <c t="s" r="B13">
        <v>152</v>
      </c>
      <c s="31" r="C13">
        <v>147.96</v>
      </c>
      <c s="31" r="D13">
        <v>189.57</v>
      </c>
      <c s="31" r="E13">
        <v>214.23</v>
      </c>
      <c s="31" r="F13">
        <v>200.86</v>
      </c>
      <c s="31" r="G13">
        <v>214.94</v>
      </c>
      <c s="31" r="H13">
        <v>215.29</v>
      </c>
      <c s="31" r="I13">
        <v>183.85</v>
      </c>
      <c s="31" r="J13">
        <v>192.09</v>
      </c>
      <c s="31" r="K13">
        <v>183.07</v>
      </c>
      <c s="31" r="L13">
        <v>188.21</v>
      </c>
    </row>
    <row>
      <c s="22" r="A14">
        <v>7</v>
      </c>
      <c t="s" r="B14">
        <v>153</v>
      </c>
      <c s="31" r="C14">
        <v>100.73</v>
      </c>
      <c s="31" r="D14">
        <v>158.23</v>
      </c>
      <c s="31" r="E14">
        <v>164.39</v>
      </c>
      <c s="31" r="F14">
        <v>128.94</v>
      </c>
      <c s="31" r="G14">
        <v>102.17</v>
      </c>
      <c s="31" r="H14">
        <v>117.34</v>
      </c>
      <c s="31" r="I14">
        <v>118.29</v>
      </c>
      <c s="31" r="J14">
        <v>151.72</v>
      </c>
      <c s="31" r="K14">
        <v>212.87</v>
      </c>
      <c s="31" r="L14">
        <v>218.62</v>
      </c>
    </row>
    <row>
      <c s="37" r="A15">
        <v>8</v>
      </c>
      <c s="20" t="s" r="B15">
        <v>154</v>
      </c>
      <c s="42" r="C15">
        <v>147.27</v>
      </c>
      <c s="42" r="D15">
        <v>177.54</v>
      </c>
      <c s="42" r="E15">
        <v>178.40</v>
      </c>
      <c s="42" r="F15">
        <v>182.21</v>
      </c>
      <c s="42" r="G15">
        <v>164.45</v>
      </c>
      <c s="42" r="H15">
        <v>216.34</v>
      </c>
      <c s="42" r="I15">
        <v>170.63</v>
      </c>
      <c s="42" r="J15">
        <v>149.33</v>
      </c>
      <c s="42" r="K15">
        <v>201.17</v>
      </c>
      <c s="42" r="L15">
        <v>197.29</v>
      </c>
    </row>
    <row>
      <c t="s" r="A16"/>
      <c t="s" r="B16"/>
      <c t="s" r="C16"/>
      <c t="s" r="D16"/>
      <c t="s" r="E16"/>
      <c t="s" r="F16"/>
      <c t="s" r="G16"/>
      <c t="s" r="H16"/>
      <c t="s" r="I16"/>
      <c t="s" r="J16"/>
      <c t="s" r="K16"/>
      <c t="s" r="L16"/>
    </row>
    <row>
      <c t="s" r="A17"/>
      <c s="20" t="s" r="B17">
        <v>155</v>
      </c>
      <c t="s" r="C17"/>
      <c t="s" r="D17"/>
      <c t="s" r="E17"/>
      <c t="s" r="F17"/>
      <c t="s" r="G17"/>
      <c t="s" r="H17"/>
      <c t="s" r="I17"/>
      <c t="s" r="J17"/>
      <c t="s" r="K17"/>
      <c t="s" r="L17"/>
    </row>
    <row>
      <c s="22" r="A18">
        <v>9</v>
      </c>
      <c t="s" r="B18">
        <v>115</v>
      </c>
      <c s="24" r="C18">
        <v>6.68</v>
      </c>
      <c s="24" r="D18">
        <v>7.74</v>
      </c>
      <c s="24" r="E18">
        <v>8.83</v>
      </c>
      <c s="24" r="F18">
        <v>9.05</v>
      </c>
      <c s="30" r="G18">
        <v>10.88</v>
      </c>
      <c s="30" r="H18">
        <v>10.93</v>
      </c>
      <c s="24" r="I18">
        <v>9.06</v>
      </c>
      <c s="24" r="J18">
        <v>9.71</v>
      </c>
      <c s="30" r="K18">
        <v>10.98</v>
      </c>
      <c s="30" r="L18">
        <v>10.70</v>
      </c>
    </row>
    <row>
      <c s="29" r="A19">
        <v>10</v>
      </c>
      <c t="s" r="B19">
        <v>116</v>
      </c>
      <c s="24" r="C19">
        <v>5.69</v>
      </c>
      <c s="24" r="D19">
        <v>5.94</v>
      </c>
      <c s="24" r="E19">
        <v>6.10</v>
      </c>
      <c s="24" r="F19">
        <v>5.97</v>
      </c>
      <c s="24" r="G19">
        <v>6.25</v>
      </c>
      <c s="24" r="H19">
        <v>6.96</v>
      </c>
      <c s="24" r="I19">
        <v>6.90</v>
      </c>
      <c s="24" r="J19">
        <v>6.32</v>
      </c>
      <c s="24" r="K19">
        <v>6.70</v>
      </c>
      <c s="24" r="L19">
        <v>6.91</v>
      </c>
    </row>
    <row>
      <c s="29" r="A20">
        <v>11</v>
      </c>
      <c t="s" r="B20">
        <v>117</v>
      </c>
      <c s="24" r="C20">
        <v>4.39</v>
      </c>
      <c s="24" r="D20">
        <v>7.06</v>
      </c>
      <c s="24" r="E20">
        <v>5.30</v>
      </c>
      <c s="24" r="F20">
        <v>4.78</v>
      </c>
      <c s="24" r="G20">
        <v>8.23</v>
      </c>
      <c s="24" r="H20">
        <v>9.36</v>
      </c>
      <c s="24" r="I20">
        <v>6.94</v>
      </c>
      <c s="24" r="J20">
        <v>6.62</v>
      </c>
      <c s="24" r="K20">
        <v>7.25</v>
      </c>
      <c s="24" r="L20">
        <v>7.14</v>
      </c>
    </row>
    <row>
      <c s="29" r="A21">
        <v>12</v>
      </c>
      <c t="s" r="B21">
        <v>118</v>
      </c>
      <c s="24" r="C21">
        <v>4.43</v>
      </c>
      <c s="24" r="D21">
        <v>4.23</v>
      </c>
      <c s="24" r="E21">
        <v>5.07</v>
      </c>
      <c s="24" r="F21">
        <v>4.90</v>
      </c>
      <c s="24" r="G21">
        <v>4.89</v>
      </c>
      <c s="24" r="H21">
        <v>5.50</v>
      </c>
      <c s="24" r="I21">
        <v>5.98</v>
      </c>
      <c s="24" r="J21">
        <v>5.59</v>
      </c>
      <c s="24" r="K21">
        <v>5.89</v>
      </c>
      <c s="24" r="L21">
        <v>5.90</v>
      </c>
    </row>
    <row>
      <c s="29" r="A22">
        <v>13</v>
      </c>
      <c t="s" r="B22">
        <v>119</v>
      </c>
      <c s="30" r="C22">
        <v>12.91</v>
      </c>
      <c s="30" r="D22">
        <v>14.24</v>
      </c>
      <c s="30" r="E22">
        <v>16.33</v>
      </c>
      <c s="30" r="F22">
        <v>16.91</v>
      </c>
      <c s="30" r="G22">
        <v>16.45</v>
      </c>
      <c s="30" r="H22">
        <v>21.93</v>
      </c>
      <c s="30" r="I22">
        <v>17.01</v>
      </c>
      <c s="30" r="J22">
        <v>15.76</v>
      </c>
      <c s="30" r="K22">
        <v>18.15</v>
      </c>
      <c s="30" r="L22">
        <v>19.79</v>
      </c>
    </row>
    <row>
      <c s="29" r="A23">
        <v>14</v>
      </c>
      <c t="s" r="B23">
        <v>120</v>
      </c>
      <c s="24" r="C23">
        <v>0.82</v>
      </c>
      <c s="24" r="D23">
        <v>0.87</v>
      </c>
      <c s="24" r="E23">
        <v>1.03</v>
      </c>
      <c s="24" r="F23">
        <v>1.26</v>
      </c>
      <c s="24" r="G23">
        <v>0.89</v>
      </c>
      <c s="24" r="H23">
        <v>0.60</v>
      </c>
      <c s="24" r="I23">
        <v>0.60</v>
      </c>
      <c s="24" r="J23">
        <v>0.70</v>
      </c>
      <c s="24" r="K23">
        <v>0.64</v>
      </c>
      <c s="24" r="L23">
        <v>0.58</v>
      </c>
    </row>
    <row>
      <c s="29" r="A24">
        <v>15</v>
      </c>
      <c t="s" r="B24">
        <v>121</v>
      </c>
      <c s="24" r="C24">
        <v>3.85</v>
      </c>
      <c s="24" r="D24">
        <v>5.04</v>
      </c>
      <c s="24" r="E24">
        <v>3.89</v>
      </c>
      <c s="24" r="F24">
        <v>3.69</v>
      </c>
      <c s="24" r="G24">
        <v>4.83</v>
      </c>
      <c s="24" r="H24">
        <v>5.17</v>
      </c>
      <c s="24" r="I24">
        <v>4.02</v>
      </c>
      <c s="24" r="J24">
        <v>3.90</v>
      </c>
      <c s="24" r="K24">
        <v>4.31</v>
      </c>
      <c s="24" r="L24">
        <v>4.20</v>
      </c>
    </row>
    <row>
      <c s="29" r="A25">
        <v>16</v>
      </c>
      <c t="s" r="B25">
        <v>122</v>
      </c>
      <c s="24" r="C25">
        <v>3.86</v>
      </c>
      <c s="24" r="D25">
        <v>4.26</v>
      </c>
      <c s="24" r="E25">
        <v>4.99</v>
      </c>
      <c s="24" r="F25">
        <v>4.51</v>
      </c>
      <c s="24" r="G25">
        <v>5.06</v>
      </c>
      <c s="24" r="H25">
        <v>5.47</v>
      </c>
      <c s="24" r="I25">
        <v>4.25</v>
      </c>
      <c s="24" r="J25">
        <v>4.27</v>
      </c>
      <c s="24" r="K25">
        <v>4.84</v>
      </c>
      <c s="24" r="L25">
        <v>4.70</v>
      </c>
    </row>
    <row>
      <c s="29" r="A26">
        <v>17</v>
      </c>
      <c t="s" r="B26">
        <v>123</v>
      </c>
      <c s="24" r="C26">
        <v>3.36</v>
      </c>
      <c s="24" r="D26">
        <v>4.20</v>
      </c>
      <c s="24" r="E26">
        <v>4.37</v>
      </c>
      <c s="24" r="F26">
        <v>4.20</v>
      </c>
      <c s="24" r="G26">
        <v>3.70</v>
      </c>
      <c s="24" r="H26">
        <v>6.22</v>
      </c>
      <c s="24" r="I26">
        <v>5.73</v>
      </c>
      <c s="24" r="J26">
        <v>5.33</v>
      </c>
      <c s="24" r="K26">
        <v>5.98</v>
      </c>
      <c s="24" r="L26">
        <v>5.82</v>
      </c>
    </row>
    <row>
      <c s="29" r="A27">
        <v>18</v>
      </c>
      <c t="s" r="B27">
        <v>124</v>
      </c>
      <c s="24" r="C27">
        <v>1.02</v>
      </c>
      <c s="24" r="D27">
        <v>1.09</v>
      </c>
      <c s="24" r="E27">
        <v>1.22</v>
      </c>
      <c s="24" r="F27">
        <v>1.21</v>
      </c>
      <c s="24" r="G27">
        <v>1.12</v>
      </c>
      <c s="24" r="H27">
        <v>1.16</v>
      </c>
      <c s="24" r="I27">
        <v>1.08</v>
      </c>
      <c s="24" r="J27">
        <v>1.08</v>
      </c>
      <c s="24" r="K27">
        <v>1.28</v>
      </c>
      <c s="24" r="L27">
        <v>1.25</v>
      </c>
    </row>
    <row>
      <c s="29" r="A28">
        <v>19</v>
      </c>
      <c t="s" r="B28">
        <v>125</v>
      </c>
      <c s="30" r="C28">
        <v>10.84</v>
      </c>
      <c s="24" r="D28">
        <v>9.88</v>
      </c>
      <c s="24" r="E28">
        <v>9.61</v>
      </c>
      <c s="24" r="F28">
        <v>8.60</v>
      </c>
      <c s="24" r="G28">
        <v>8.47</v>
      </c>
      <c s="30" r="H28">
        <v>11.19</v>
      </c>
      <c s="24" r="I28">
        <v>7.72</v>
      </c>
      <c s="24" r="J28">
        <v>8.16</v>
      </c>
      <c s="24" r="K28">
        <v>9.23</v>
      </c>
      <c s="24" r="L28">
        <v>9.00</v>
      </c>
    </row>
    <row>
      <c s="29" r="A29">
        <v>20</v>
      </c>
      <c t="s" r="B29">
        <v>126</v>
      </c>
      <c t="s" r="C29"/>
      <c t="s" r="D29"/>
      <c t="s" r="E29"/>
      <c s="24" r="F29">
        <v>0.77</v>
      </c>
      <c s="24" r="G29">
        <v>0.95</v>
      </c>
      <c s="24" r="H29">
        <v>1.11</v>
      </c>
      <c s="24" r="I29">
        <v>1.03</v>
      </c>
      <c s="24" r="J29">
        <v>1.07</v>
      </c>
      <c s="24" r="K29">
        <v>1.22</v>
      </c>
      <c s="24" r="L29">
        <v>1.17</v>
      </c>
    </row>
    <row>
      <c s="29" r="A30">
        <v>21</v>
      </c>
      <c t="s" r="B30">
        <v>127</v>
      </c>
      <c s="24" r="C30">
        <v>2.93</v>
      </c>
      <c s="24" r="D30">
        <v>3.36</v>
      </c>
      <c s="24" r="E30">
        <v>4.95</v>
      </c>
      <c s="24" r="F30">
        <v>6.59</v>
      </c>
      <c s="24" r="G30">
        <v>6.71</v>
      </c>
      <c s="24" r="H30">
        <v>6.18</v>
      </c>
      <c s="24" r="I30">
        <v>4.91</v>
      </c>
      <c s="24" r="J30">
        <v>5.93</v>
      </c>
      <c s="24" r="K30">
        <v>5.59</v>
      </c>
      <c s="24" r="L30">
        <v>5.55</v>
      </c>
    </row>
    <row>
      <c s="29" r="A31">
        <v>22</v>
      </c>
      <c t="s" r="B31">
        <v>128</v>
      </c>
      <c s="24" r="C31">
        <v>2.50</v>
      </c>
      <c s="24" r="D31">
        <v>2.98</v>
      </c>
      <c s="24" r="E31">
        <v>3.67</v>
      </c>
      <c s="24" r="F31">
        <v>2.86</v>
      </c>
      <c s="24" r="G31">
        <v>2.89</v>
      </c>
      <c s="24" r="H31">
        <v>3.96</v>
      </c>
      <c s="24" r="I31">
        <v>3.38</v>
      </c>
      <c s="24" r="J31">
        <v>3.50</v>
      </c>
      <c s="24" r="K31">
        <v>3.95</v>
      </c>
      <c s="24" r="L31">
        <v>3.85</v>
      </c>
    </row>
    <row>
      <c s="29" r="A32">
        <v>23</v>
      </c>
      <c t="s" r="B32">
        <v>129</v>
      </c>
      <c s="24" r="C32">
        <v>0.26</v>
      </c>
      <c s="24" r="D32">
        <v>0.52</v>
      </c>
      <c s="24" r="E32">
        <v>5.27</v>
      </c>
      <c s="24" r="F32">
        <v>5.84</v>
      </c>
      <c s="24" r="G32">
        <v>1.11</v>
      </c>
      <c s="24" r="H32">
        <v>1.15</v>
      </c>
      <c s="24" r="I32">
        <v>0.17</v>
      </c>
      <c s="24" r="J32">
        <v>0.28</v>
      </c>
      <c s="24" r="K32">
        <v>0.31</v>
      </c>
      <c s="24" r="L32">
        <v>0.29</v>
      </c>
    </row>
    <row>
      <c s="29" r="A33">
        <v>24</v>
      </c>
      <c t="s" r="B33">
        <v>130</v>
      </c>
      <c s="24" r="C33">
        <v>8.49</v>
      </c>
      <c s="24" r="D33">
        <v>8.36</v>
      </c>
      <c s="24" r="E33">
        <v>9.99</v>
      </c>
      <c s="30" r="F33">
        <v>10.92</v>
      </c>
      <c s="24" r="G33">
        <v>9.17</v>
      </c>
      <c s="30" r="H33">
        <v>12.59</v>
      </c>
      <c s="30" r="I33">
        <v>12.06</v>
      </c>
      <c s="24" r="J33">
        <v>8.70</v>
      </c>
      <c s="30" r="K33">
        <v>10.42</v>
      </c>
      <c s="30" r="L33">
        <v>10.17</v>
      </c>
    </row>
    <row>
      <c s="29" r="A34">
        <v>25</v>
      </c>
      <c t="s" r="B34">
        <v>131</v>
      </c>
      <c s="24" r="C34">
        <v>1.79</v>
      </c>
      <c s="24" r="D34">
        <v>2.50</v>
      </c>
      <c s="24" r="E34">
        <v>2.01</v>
      </c>
      <c s="24" r="F34">
        <v>1.85</v>
      </c>
      <c s="24" r="G34">
        <v>2.33</v>
      </c>
      <c s="24" r="H34">
        <v>3.31</v>
      </c>
      <c s="24" r="I34">
        <v>2.19</v>
      </c>
      <c s="24" r="J34">
        <v>1.97</v>
      </c>
      <c s="24" r="K34">
        <v>2.25</v>
      </c>
      <c s="24" r="L34">
        <v>2.18</v>
      </c>
    </row>
    <row>
      <c s="29" r="A35">
        <v>26</v>
      </c>
      <c t="s" r="B35">
        <v>132</v>
      </c>
      <c s="24" r="C35">
        <v>4.26</v>
      </c>
      <c s="24" r="D35">
        <v>4.07</v>
      </c>
      <c s="24" r="E35">
        <v>4.17</v>
      </c>
      <c s="24" r="F35">
        <v>4.20</v>
      </c>
      <c s="24" r="G35">
        <v>3.86</v>
      </c>
      <c s="24" r="H35">
        <v>4.96</v>
      </c>
      <c s="24" r="I35">
        <v>4.62</v>
      </c>
      <c s="24" r="J35">
        <v>4.93</v>
      </c>
      <c s="24" r="K35">
        <v>5.70</v>
      </c>
      <c s="24" r="L35">
        <v>5.58</v>
      </c>
    </row>
    <row>
      <c s="39" r="A36">
        <v>27</v>
      </c>
      <c s="20" t="s" r="B36">
        <v>133</v>
      </c>
      <c s="43" r="C36">
        <v>78.08</v>
      </c>
      <c s="43" r="D36">
        <v>86.36</v>
      </c>
      <c s="43" r="E36">
        <v>96.81</v>
      </c>
      <c s="43" r="F36">
        <v>98.12</v>
      </c>
      <c s="43" r="G36">
        <v>97.78</v>
      </c>
      <c s="42" r="H36">
        <v>117.75</v>
      </c>
      <c s="43" r="I36">
        <v>97.66</v>
      </c>
      <c s="43" r="J36">
        <v>93.82</v>
      </c>
      <c s="42" r="K36">
        <v>104.67</v>
      </c>
      <c s="42" r="L36">
        <v>104.78</v>
      </c>
    </row>
    <row>
      <c t="s" r="A37"/>
      <c t="s" r="B37"/>
      <c t="s" r="C37"/>
      <c t="s" r="D37"/>
      <c t="s" r="E37"/>
      <c t="s" r="F37"/>
      <c t="s" r="G37"/>
      <c t="s" r="H37"/>
      <c t="s" r="I37"/>
      <c t="s" r="J37"/>
      <c t="s" r="K37"/>
      <c t="s" r="L37"/>
    </row>
    <row>
      <c s="29" r="A38">
        <v>28</v>
      </c>
      <c t="s" r="B38">
        <v>134</v>
      </c>
      <c s="24" r="C38">
        <v>2.71</v>
      </c>
      <c s="24" r="D38">
        <v>2.89</v>
      </c>
      <c s="24" r="E38">
        <v>2.95</v>
      </c>
      <c s="24" r="F38">
        <v>3.02</v>
      </c>
      <c s="24" r="G38">
        <v>3.25</v>
      </c>
      <c s="24" r="H38">
        <v>3.64</v>
      </c>
      <c s="24" r="I38">
        <v>3.23</v>
      </c>
      <c s="24" r="J38">
        <v>3.82</v>
      </c>
      <c s="24" r="K38">
        <v>4.75</v>
      </c>
      <c s="24" r="L38">
        <v>4.62</v>
      </c>
    </row>
    <row>
      <c s="29" r="A39">
        <v>29</v>
      </c>
      <c t="s" r="B39">
        <v>135</v>
      </c>
      <c s="24" r="C39">
        <v>0.86</v>
      </c>
      <c s="24" r="D39">
        <v>0.78</v>
      </c>
      <c s="24" r="E39">
        <v>0.86</v>
      </c>
      <c s="24" r="F39">
        <v>0.60</v>
      </c>
      <c s="24" r="G39">
        <v>1.21</v>
      </c>
      <c s="24" r="H39">
        <v>0.86</v>
      </c>
      <c s="24" r="I39">
        <v>0.78</v>
      </c>
      <c s="24" r="J39">
        <v>0.77</v>
      </c>
      <c s="24" r="K39">
        <v>0.86</v>
      </c>
      <c s="24" r="L39">
        <v>0.85</v>
      </c>
    </row>
    <row>
      <c s="29" r="A40">
        <v>30</v>
      </c>
      <c t="s" r="B40">
        <v>136</v>
      </c>
      <c s="24" r="C40">
        <v>4.18</v>
      </c>
      <c s="24" r="D40">
        <v>4.19</v>
      </c>
      <c s="24" r="E40">
        <v>3.99</v>
      </c>
      <c s="24" r="F40">
        <v>3.90</v>
      </c>
      <c s="24" r="G40">
        <v>3.95</v>
      </c>
      <c s="24" r="H40">
        <v>4.63</v>
      </c>
      <c s="24" r="I40">
        <v>4.45</v>
      </c>
      <c s="24" r="J40">
        <v>4.74</v>
      </c>
      <c s="24" r="K40">
        <v>5.56</v>
      </c>
      <c s="24" r="L40">
        <v>5.42</v>
      </c>
    </row>
    <row>
      <c s="29" r="A41">
        <v>31</v>
      </c>
      <c t="s" r="B41">
        <v>137</v>
      </c>
      <c s="24" r="C41">
        <v>0.41</v>
      </c>
      <c s="24" r="D41">
        <v>0.67</v>
      </c>
      <c s="24" r="E41">
        <v>0.66</v>
      </c>
      <c s="24" r="F41">
        <v>0.76</v>
      </c>
      <c s="24" r="G41">
        <v>0.83</v>
      </c>
      <c s="24" r="H41">
        <v>0.79</v>
      </c>
      <c s="24" r="I41">
        <v>0.74</v>
      </c>
      <c s="24" r="J41">
        <v>0.82</v>
      </c>
      <c s="24" r="K41">
        <v>0.92</v>
      </c>
      <c s="24" r="L41">
        <v>0.90</v>
      </c>
    </row>
    <row>
      <c s="29" r="A42">
        <v>32</v>
      </c>
      <c t="s" r="B42">
        <v>138</v>
      </c>
      <c s="30" r="C42">
        <v>15.60</v>
      </c>
      <c s="30" r="D42">
        <v>18.22</v>
      </c>
      <c s="30" r="E42">
        <v>16.89</v>
      </c>
      <c s="30" r="F42">
        <v>16.67</v>
      </c>
      <c s="30" r="G42">
        <v>13.92</v>
      </c>
      <c s="30" r="H42">
        <v>14.64</v>
      </c>
      <c s="30" r="I42">
        <v>19.53</v>
      </c>
      <c s="30" r="J42">
        <v>25.58</v>
      </c>
      <c s="30" r="K42">
        <v>25.29</v>
      </c>
      <c s="30" r="L42">
        <v>22.07</v>
      </c>
    </row>
    <row>
      <c s="29" r="A43">
        <v>33</v>
      </c>
      <c t="s" r="B43">
        <v>139</v>
      </c>
      <c s="24" r="C43">
        <v>4.00</v>
      </c>
      <c s="24" r="D43">
        <v>7.95</v>
      </c>
      <c s="24" r="E43">
        <v>7.65</v>
      </c>
      <c s="24" r="F43">
        <v>7.73</v>
      </c>
      <c s="24" r="G43">
        <v>9.15</v>
      </c>
      <c s="24" r="H43">
        <v>9.72</v>
      </c>
      <c s="24" r="I43">
        <v>3.48</v>
      </c>
      <c s="24" r="J43">
        <v>2.73</v>
      </c>
      <c s="24" r="K43">
        <v>3.09</v>
      </c>
      <c s="24" r="L43">
        <v>3.03</v>
      </c>
    </row>
    <row>
      <c s="39" r="A44">
        <v>34</v>
      </c>
      <c s="20" t="s" r="B44">
        <v>140</v>
      </c>
      <c s="43" r="C44">
        <v>27.76</v>
      </c>
      <c s="43" r="D44">
        <v>34.70</v>
      </c>
      <c s="43" r="E44">
        <v>33.01</v>
      </c>
      <c s="43" r="F44">
        <v>32.69</v>
      </c>
      <c s="43" r="G44">
        <v>32.30</v>
      </c>
      <c s="43" r="H44">
        <v>34.28</v>
      </c>
      <c s="43" r="I44">
        <v>32.21</v>
      </c>
      <c s="43" r="J44">
        <v>38.47</v>
      </c>
      <c s="43" r="K44">
        <v>40.47</v>
      </c>
      <c s="43" r="L44">
        <v>36.89</v>
      </c>
    </row>
    <row>
      <c s="39" r="A45">
        <v>35</v>
      </c>
      <c s="20" t="s" r="B45">
        <v>141</v>
      </c>
      <c s="42" r="C45">
        <v>105.83</v>
      </c>
      <c s="42" r="D45">
        <v>121.07</v>
      </c>
      <c s="42" r="E45">
        <v>129.83</v>
      </c>
      <c s="42" r="F45">
        <v>130.81</v>
      </c>
      <c s="42" r="G45">
        <v>130.08</v>
      </c>
      <c s="42" r="H45">
        <v>152.03</v>
      </c>
      <c s="42" r="I45">
        <v>129.87</v>
      </c>
      <c s="42" r="J45">
        <v>132.29</v>
      </c>
      <c s="42" r="K45">
        <v>145.14</v>
      </c>
      <c s="42" r="L45">
        <v>141.67</v>
      </c>
    </row>
    <row>
      <c s="29" r="A46">
        <v>36</v>
      </c>
      <c t="s" r="B46">
        <v>142</v>
      </c>
      <c s="30" r="C46">
        <v>14.03</v>
      </c>
      <c s="30" r="D46">
        <v>14.27</v>
      </c>
      <c s="30" r="E46">
        <v>13.96</v>
      </c>
      <c s="30" r="F46">
        <v>14.51</v>
      </c>
      <c s="30" r="G46">
        <v>14.83</v>
      </c>
      <c s="30" r="H46">
        <v>15.43</v>
      </c>
      <c s="30" r="I46">
        <v>12.61</v>
      </c>
      <c s="30" r="J46">
        <v>12.25</v>
      </c>
      <c s="30" r="K46">
        <v>13.20</v>
      </c>
      <c s="30" r="L46">
        <v>12.75</v>
      </c>
    </row>
    <row>
      <c s="39" r="A47">
        <v>37</v>
      </c>
      <c s="20" t="s" r="B47">
        <v>143</v>
      </c>
      <c s="42" r="C47">
        <v>119.87</v>
      </c>
      <c s="42" r="D47">
        <v>135.34</v>
      </c>
      <c s="42" r="E47">
        <v>143.78</v>
      </c>
      <c s="42" r="F47">
        <v>145.31</v>
      </c>
      <c s="42" r="G47">
        <v>144.91</v>
      </c>
      <c s="42" r="H47">
        <v>167.47</v>
      </c>
      <c s="42" r="I47">
        <v>142.47</v>
      </c>
      <c s="42" r="J47">
        <v>144.53</v>
      </c>
      <c s="42" r="K47">
        <v>158.34</v>
      </c>
      <c s="42" r="L47">
        <v>154.42</v>
      </c>
    </row>
    <row>
      <c t="s" r="A48"/>
      <c t="s" r="B48"/>
      <c t="s" r="C48"/>
      <c t="s" r="D48"/>
      <c t="s" r="E48"/>
      <c t="s" r="F48"/>
      <c t="s" r="G48"/>
      <c t="s" r="H48"/>
      <c t="s" r="I48"/>
      <c t="s" r="J48"/>
      <c t="s" r="K48"/>
      <c t="s" r="L48"/>
    </row>
    <row>
      <c s="39" r="A49">
        <v>38</v>
      </c>
      <c s="20" t="s" r="B49">
        <v>144</v>
      </c>
      <c s="43" r="C49">
        <v>27.40</v>
      </c>
      <c s="43" r="D49">
        <v>42.21</v>
      </c>
      <c s="43" r="E49">
        <v>34.62</v>
      </c>
      <c s="43" r="F49">
        <v>36.89</v>
      </c>
      <c s="43" r="G49">
        <v>19.53</v>
      </c>
      <c s="43" r="H49">
        <v>48.87</v>
      </c>
      <c s="43" r="I49">
        <v>28.16</v>
      </c>
      <c s="44" r="J49">
        <v>4.80</v>
      </c>
      <c s="43" r="K49">
        <v>42.83</v>
      </c>
      <c s="43" r="L49">
        <v>42.87</v>
      </c>
    </row>
    <row>
      <c t="s" r="A50"/>
      <c t="s" r="B50"/>
      <c t="s" r="C50"/>
      <c t="s" r="D50"/>
      <c t="s" r="E50"/>
      <c t="s" r="F50"/>
      <c t="s" r="G50"/>
      <c t="s" r="H50"/>
      <c t="s" r="I50"/>
      <c t="s" r="J50"/>
      <c t="s" r="K50"/>
      <c t="s" r="L50"/>
    </row>
    <row>
      <c t="s" r="A51"/>
      <c s="21" t="s" r="B51">
        <v>102</v>
      </c>
      <c s="34" r="C51">
        <f>_xlfn.HYPERLINK("mailto:econ@beeflambnz.com","econ@beeflambnz.com")</f>
      </c>
      <c t="s" r="D51"/>
      <c t="s" r="E51"/>
      <c s="19" t="s" r="F51">
        <v>54</v>
      </c>
      <c t="s" r="G51"/>
      <c t="s" r="H51"/>
      <c t="s" r="I51"/>
      <c t="s" r="J51"/>
      <c t="s" r="K51"/>
      <c s="21" t="s" r="L51">
        <v>103</v>
      </c>
    </row>
  </sheetData>
  <mergeCells count="1">
    <mergeCell ref="C51:E51"/>
  </mergeCells>
  <hyperlinks>
    <hyperlink ref="L2" location="Notes!A1" display="Notes tab"/>
    <hyperlink ref="F51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156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157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106</v>
      </c>
      <c s="30" r="C8">
        <v>68.14</v>
      </c>
      <c s="30" r="D8">
        <v>54.94</v>
      </c>
      <c s="30" r="E8">
        <v>61.72</v>
      </c>
      <c s="30" r="F8">
        <v>48.03</v>
      </c>
      <c s="30" r="G8">
        <v>34.54</v>
      </c>
      <c s="30" r="H8">
        <v>42.36</v>
      </c>
      <c s="30" r="I8">
        <v>45.95</v>
      </c>
      <c s="30" r="J8">
        <v>46.47</v>
      </c>
      <c s="30" r="K8">
        <v>44.51</v>
      </c>
      <c s="30" r="L8">
        <v>47.05</v>
      </c>
    </row>
    <row>
      <c s="22" r="A9">
        <v>2</v>
      </c>
      <c t="s" r="B9">
        <v>107</v>
      </c>
      <c s="31" r="C9">
        <v>466.16</v>
      </c>
      <c s="31" r="D9">
        <v>599.59</v>
      </c>
      <c s="31" r="E9">
        <v>640.94</v>
      </c>
      <c s="31" r="F9">
        <v>688.78</v>
      </c>
      <c s="31" r="G9">
        <v>573.91</v>
      </c>
      <c s="31" r="H9">
        <v>772.52</v>
      </c>
      <c s="31" r="I9">
        <v>709.36</v>
      </c>
      <c s="31" r="J9">
        <v>550.07</v>
      </c>
      <c s="31" r="K9">
        <v>727.00</v>
      </c>
      <c s="31" r="L9">
        <v>714.77</v>
      </c>
    </row>
    <row>
      <c s="22" r="A10">
        <v>3</v>
      </c>
      <c t="s" r="B10">
        <v>108</v>
      </c>
      <c s="31" r="C10">
        <v>285.51</v>
      </c>
      <c s="31" r="D10">
        <v>330.35</v>
      </c>
      <c s="31" r="E10">
        <v>330.81</v>
      </c>
      <c s="31" r="F10">
        <v>347.47</v>
      </c>
      <c s="31" r="G10">
        <v>296.22</v>
      </c>
      <c s="31" r="H10">
        <v>354.15</v>
      </c>
      <c s="31" r="I10">
        <v>350.24</v>
      </c>
      <c s="31" r="J10">
        <v>311.79</v>
      </c>
      <c s="31" r="K10">
        <v>406.33</v>
      </c>
      <c s="31" r="L10">
        <v>452.74</v>
      </c>
    </row>
    <row>
      <c s="22" r="A11">
        <v>4</v>
      </c>
      <c t="s" r="B11">
        <v>109</v>
      </c>
      <c s="30" r="C11">
        <v>79.75</v>
      </c>
      <c s="31" r="D11">
        <v>106.89</v>
      </c>
      <c s="31" r="E11">
        <v>156.10</v>
      </c>
      <c s="31" r="F11">
        <v>168.51</v>
      </c>
      <c s="31" r="G11">
        <v>158.51</v>
      </c>
      <c s="31" r="H11">
        <v>186.29</v>
      </c>
      <c s="31" r="I11">
        <v>142.31</v>
      </c>
      <c s="31" r="J11">
        <v>154.81</v>
      </c>
      <c s="31" r="K11">
        <v>148.31</v>
      </c>
      <c s="31" r="L11">
        <v>154.85</v>
      </c>
    </row>
    <row>
      <c s="22" r="A12">
        <v>5</v>
      </c>
      <c t="s" r="B12">
        <v>110</v>
      </c>
      <c s="30" r="C12">
        <v>14.76</v>
      </c>
      <c s="30" r="D12">
        <v>21.26</v>
      </c>
      <c s="30" r="E12">
        <v>31.65</v>
      </c>
      <c s="30" r="F12">
        <v>22.95</v>
      </c>
      <c s="30" r="G12">
        <v>18.43</v>
      </c>
      <c s="30" r="H12">
        <v>21.79</v>
      </c>
      <c s="30" r="I12">
        <v>24.25</v>
      </c>
      <c s="30" r="J12">
        <v>33.61</v>
      </c>
      <c s="30" r="K12">
        <v>34.58</v>
      </c>
      <c s="30" r="L12">
        <v>29.98</v>
      </c>
    </row>
    <row>
      <c s="22" r="A13">
        <v>6</v>
      </c>
      <c t="s" r="B13">
        <v>111</v>
      </c>
      <c s="30" r="C13">
        <v>45.49</v>
      </c>
      <c s="30" r="D13">
        <v>89.63</v>
      </c>
      <c s="31" r="E13">
        <v>121.65</v>
      </c>
      <c s="31" r="F13">
        <v>158.08</v>
      </c>
      <c s="31" r="G13">
        <v>173.26</v>
      </c>
      <c s="31" r="H13">
        <v>173.61</v>
      </c>
      <c s="30" r="I13">
        <v>78.01</v>
      </c>
      <c s="30" r="J13">
        <v>79.28</v>
      </c>
      <c s="30" r="K13">
        <v>81.22</v>
      </c>
      <c s="30" r="L13">
        <v>82.28</v>
      </c>
    </row>
    <row>
      <c s="22" r="A14">
        <v>7</v>
      </c>
      <c t="s" r="B14">
        <v>112</v>
      </c>
      <c s="30" r="C14">
        <v>89.88</v>
      </c>
      <c s="31" r="D14">
        <v>113.66</v>
      </c>
      <c s="31" r="E14">
        <v>105.43</v>
      </c>
      <c s="30" r="F14">
        <v>73.62</v>
      </c>
      <c s="30" r="G14">
        <v>66.97</v>
      </c>
      <c s="31" r="H14">
        <v>118.93</v>
      </c>
      <c s="31" r="I14">
        <v>122.74</v>
      </c>
      <c s="30" r="J14">
        <v>81.00</v>
      </c>
      <c s="30" r="K14">
        <v>85.04</v>
      </c>
      <c s="30" r="L14">
        <v>85.42</v>
      </c>
    </row>
    <row>
      <c s="37" r="A15">
        <v>8</v>
      </c>
      <c s="20" t="s" r="B15">
        <v>113</v>
      </c>
      <c s="45" r="C15">
        <v>1049.69</v>
      </c>
      <c s="45" r="D15">
        <v>1316.32</v>
      </c>
      <c s="45" r="E15">
        <v>1448.31</v>
      </c>
      <c s="45" r="F15">
        <v>1507.44</v>
      </c>
      <c s="45" r="G15">
        <v>1321.83</v>
      </c>
      <c s="45" r="H15">
        <v>1669.81</v>
      </c>
      <c s="45" r="I15">
        <v>1472.86</v>
      </c>
      <c s="45" r="J15">
        <v>1257.02</v>
      </c>
      <c s="45" r="K15">
        <v>1527.00</v>
      </c>
      <c s="45" r="L15">
        <v>1567.09</v>
      </c>
    </row>
    <row>
      <c t="s" r="A16"/>
      <c t="s" r="B16"/>
      <c t="s" r="C16"/>
      <c t="s" r="D16"/>
      <c t="s" r="E16"/>
      <c t="s" r="F16"/>
      <c t="s" r="G16"/>
      <c t="s" r="H16"/>
      <c t="s" r="I16"/>
      <c t="s" r="J16"/>
      <c t="s" r="K16"/>
      <c t="s" r="L16"/>
    </row>
    <row>
      <c t="s" r="A17"/>
      <c s="20" t="s" r="B17">
        <v>158</v>
      </c>
      <c t="s" r="C17"/>
      <c t="s" r="D17"/>
      <c t="s" r="E17"/>
      <c t="s" r="F17"/>
      <c t="s" r="G17"/>
      <c t="s" r="H17"/>
      <c t="s" r="I17"/>
      <c t="s" r="J17"/>
      <c t="s" r="K17"/>
      <c t="s" r="L17"/>
    </row>
    <row>
      <c s="22" r="A18">
        <v>9</v>
      </c>
      <c t="s" r="B18">
        <v>115</v>
      </c>
      <c s="30" r="C18">
        <v>47.61</v>
      </c>
      <c s="30" r="D18">
        <v>57.42</v>
      </c>
      <c s="30" r="E18">
        <v>71.71</v>
      </c>
      <c s="30" r="F18">
        <v>74.84</v>
      </c>
      <c s="30" r="G18">
        <v>87.43</v>
      </c>
      <c s="30" r="H18">
        <v>84.33</v>
      </c>
      <c s="30" r="I18">
        <v>78.22</v>
      </c>
      <c s="30" r="J18">
        <v>81.76</v>
      </c>
      <c s="30" r="K18">
        <v>83.33</v>
      </c>
      <c s="30" r="L18">
        <v>85.02</v>
      </c>
    </row>
    <row>
      <c s="29" r="A19">
        <v>10</v>
      </c>
      <c t="s" r="B19">
        <v>116</v>
      </c>
      <c s="30" r="C19">
        <v>40.56</v>
      </c>
      <c s="30" r="D19">
        <v>44.06</v>
      </c>
      <c s="30" r="E19">
        <v>49.54</v>
      </c>
      <c s="30" r="F19">
        <v>49.35</v>
      </c>
      <c s="30" r="G19">
        <v>50.22</v>
      </c>
      <c s="30" r="H19">
        <v>53.72</v>
      </c>
      <c s="30" r="I19">
        <v>59.53</v>
      </c>
      <c s="30" r="J19">
        <v>53.17</v>
      </c>
      <c s="30" r="K19">
        <v>50.84</v>
      </c>
      <c s="30" r="L19">
        <v>54.85</v>
      </c>
    </row>
    <row>
      <c s="29" r="A20">
        <v>11</v>
      </c>
      <c t="s" r="B20">
        <v>117</v>
      </c>
      <c s="30" r="C20">
        <v>31.32</v>
      </c>
      <c s="30" r="D20">
        <v>52.35</v>
      </c>
      <c s="30" r="E20">
        <v>43.04</v>
      </c>
      <c s="30" r="F20">
        <v>39.56</v>
      </c>
      <c s="30" r="G20">
        <v>66.18</v>
      </c>
      <c s="30" r="H20">
        <v>72.21</v>
      </c>
      <c s="30" r="I20">
        <v>59.89</v>
      </c>
      <c s="30" r="J20">
        <v>55.68</v>
      </c>
      <c s="30" r="K20">
        <v>55.06</v>
      </c>
      <c s="30" r="L20">
        <v>56.75</v>
      </c>
    </row>
    <row>
      <c s="29" r="A21">
        <v>12</v>
      </c>
      <c t="s" r="B21">
        <v>118</v>
      </c>
      <c s="30" r="C21">
        <v>31.60</v>
      </c>
      <c s="30" r="D21">
        <v>31.38</v>
      </c>
      <c s="30" r="E21">
        <v>41.16</v>
      </c>
      <c s="30" r="F21">
        <v>40.58</v>
      </c>
      <c s="30" r="G21">
        <v>39.34</v>
      </c>
      <c s="30" r="H21">
        <v>42.42</v>
      </c>
      <c s="30" r="I21">
        <v>51.65</v>
      </c>
      <c s="30" r="J21">
        <v>47.09</v>
      </c>
      <c s="30" r="K21">
        <v>44.73</v>
      </c>
      <c s="30" r="L21">
        <v>46.84</v>
      </c>
    </row>
    <row>
      <c s="29" r="A22">
        <v>13</v>
      </c>
      <c t="s" r="B22">
        <v>119</v>
      </c>
      <c s="30" r="C22">
        <v>92.04</v>
      </c>
      <c s="31" r="D22">
        <v>105.61</v>
      </c>
      <c s="31" r="E22">
        <v>132.59</v>
      </c>
      <c s="31" r="F22">
        <v>139.90</v>
      </c>
      <c s="31" r="G22">
        <v>132.22</v>
      </c>
      <c s="31" r="H22">
        <v>169.29</v>
      </c>
      <c s="31" r="I22">
        <v>146.87</v>
      </c>
      <c s="31" r="J22">
        <v>132.63</v>
      </c>
      <c s="31" r="K22">
        <v>137.76</v>
      </c>
      <c s="31" r="L22">
        <v>157.17</v>
      </c>
    </row>
    <row>
      <c s="29" r="A23">
        <v>14</v>
      </c>
      <c t="s" r="B23">
        <v>120</v>
      </c>
      <c s="24" r="C23">
        <v>5.87</v>
      </c>
      <c s="24" r="D23">
        <v>6.43</v>
      </c>
      <c s="24" r="E23">
        <v>8.35</v>
      </c>
      <c s="30" r="F23">
        <v>10.44</v>
      </c>
      <c s="24" r="G23">
        <v>7.11</v>
      </c>
      <c s="24" r="H23">
        <v>4.65</v>
      </c>
      <c s="24" r="I23">
        <v>5.17</v>
      </c>
      <c s="24" r="J23">
        <v>5.91</v>
      </c>
      <c s="24" r="K23">
        <v>4.85</v>
      </c>
      <c s="24" r="L23">
        <v>4.64</v>
      </c>
    </row>
    <row>
      <c s="29" r="A24">
        <v>15</v>
      </c>
      <c t="s" r="B24">
        <v>121</v>
      </c>
      <c s="30" r="C24">
        <v>27.41</v>
      </c>
      <c s="30" r="D24">
        <v>37.36</v>
      </c>
      <c s="30" r="E24">
        <v>31.55</v>
      </c>
      <c s="30" r="F24">
        <v>30.50</v>
      </c>
      <c s="30" r="G24">
        <v>38.83</v>
      </c>
      <c s="30" r="H24">
        <v>39.92</v>
      </c>
      <c s="30" r="I24">
        <v>34.72</v>
      </c>
      <c s="30" r="J24">
        <v>32.81</v>
      </c>
      <c s="30" r="K24">
        <v>32.70</v>
      </c>
      <c s="30" r="L24">
        <v>33.33</v>
      </c>
    </row>
    <row>
      <c s="29" r="A25">
        <v>16</v>
      </c>
      <c t="s" r="B25">
        <v>122</v>
      </c>
      <c s="30" r="C25">
        <v>27.50</v>
      </c>
      <c s="30" r="D25">
        <v>31.61</v>
      </c>
      <c s="30" r="E25">
        <v>40.50</v>
      </c>
      <c s="30" r="F25">
        <v>37.33</v>
      </c>
      <c s="30" r="G25">
        <v>40.65</v>
      </c>
      <c s="30" r="H25">
        <v>42.20</v>
      </c>
      <c s="30" r="I25">
        <v>36.68</v>
      </c>
      <c s="30" r="J25">
        <v>35.93</v>
      </c>
      <c s="30" r="K25">
        <v>36.71</v>
      </c>
      <c s="30" r="L25">
        <v>37.34</v>
      </c>
    </row>
    <row>
      <c s="29" r="A26">
        <v>17</v>
      </c>
      <c t="s" r="B26">
        <v>123</v>
      </c>
      <c s="30" r="C26">
        <v>23.96</v>
      </c>
      <c s="30" r="D26">
        <v>31.12</v>
      </c>
      <c s="30" r="E26">
        <v>35.51</v>
      </c>
      <c s="30" r="F26">
        <v>34.72</v>
      </c>
      <c s="30" r="G26">
        <v>29.75</v>
      </c>
      <c s="30" r="H26">
        <v>48.03</v>
      </c>
      <c s="30" r="I26">
        <v>49.47</v>
      </c>
      <c s="30" r="J26">
        <v>44.88</v>
      </c>
      <c s="30" r="K26">
        <v>45.36</v>
      </c>
      <c s="30" r="L26">
        <v>46.20</v>
      </c>
    </row>
    <row>
      <c s="29" r="A27">
        <v>18</v>
      </c>
      <c t="s" r="B27">
        <v>124</v>
      </c>
      <c s="24" r="C27">
        <v>7.26</v>
      </c>
      <c s="24" r="D27">
        <v>8.08</v>
      </c>
      <c s="24" r="E27">
        <v>9.94</v>
      </c>
      <c s="30" r="F27">
        <v>10.01</v>
      </c>
      <c s="24" r="G27">
        <v>8.99</v>
      </c>
      <c s="24" r="H27">
        <v>8.96</v>
      </c>
      <c s="24" r="I27">
        <v>9.28</v>
      </c>
      <c s="24" r="J27">
        <v>9.13</v>
      </c>
      <c s="24" r="K27">
        <v>9.70</v>
      </c>
      <c s="24" r="L27">
        <v>9.92</v>
      </c>
    </row>
    <row>
      <c s="29" r="A28">
        <v>19</v>
      </c>
      <c t="s" r="B28">
        <v>125</v>
      </c>
      <c s="30" r="C28">
        <v>77.24</v>
      </c>
      <c s="30" r="D28">
        <v>73.25</v>
      </c>
      <c s="30" r="E28">
        <v>78.02</v>
      </c>
      <c s="30" r="F28">
        <v>71.15</v>
      </c>
      <c s="30" r="G28">
        <v>68.09</v>
      </c>
      <c s="30" r="H28">
        <v>86.39</v>
      </c>
      <c s="30" r="I28">
        <v>66.64</v>
      </c>
      <c s="30" r="J28">
        <v>68.70</v>
      </c>
      <c s="30" r="K28">
        <v>70.04</v>
      </c>
      <c s="30" r="L28">
        <v>71.52</v>
      </c>
    </row>
    <row>
      <c s="29" r="A29">
        <v>20</v>
      </c>
      <c t="s" r="B29">
        <v>126</v>
      </c>
      <c t="s" r="C29"/>
      <c t="s" r="D29"/>
      <c t="s" r="E29"/>
      <c s="24" r="F29">
        <v>6.39</v>
      </c>
      <c s="24" r="G29">
        <v>7.62</v>
      </c>
      <c s="24" r="H29">
        <v>8.58</v>
      </c>
      <c s="24" r="I29">
        <v>8.93</v>
      </c>
      <c s="24" r="J29">
        <v>9.02</v>
      </c>
      <c s="24" r="K29">
        <v>9.28</v>
      </c>
      <c s="24" r="L29">
        <v>9.28</v>
      </c>
    </row>
    <row>
      <c s="29" r="A30">
        <v>21</v>
      </c>
      <c t="s" r="B30">
        <v>127</v>
      </c>
      <c s="30" r="C30">
        <v>20.86</v>
      </c>
      <c s="30" r="D30">
        <v>24.93</v>
      </c>
      <c s="30" r="E30">
        <v>40.18</v>
      </c>
      <c s="30" r="F30">
        <v>54.50</v>
      </c>
      <c s="30" r="G30">
        <v>53.97</v>
      </c>
      <c s="30" r="H30">
        <v>47.67</v>
      </c>
      <c s="30" r="I30">
        <v>42.34</v>
      </c>
      <c s="30" r="J30">
        <v>49.89</v>
      </c>
      <c s="30" r="K30">
        <v>42.41</v>
      </c>
      <c s="30" r="L30">
        <v>44.09</v>
      </c>
    </row>
    <row>
      <c s="29" r="A31">
        <v>22</v>
      </c>
      <c t="s" r="B31">
        <v>128</v>
      </c>
      <c s="30" r="C31">
        <v>17.83</v>
      </c>
      <c s="30" r="D31">
        <v>22.12</v>
      </c>
      <c s="30" r="E31">
        <v>29.77</v>
      </c>
      <c s="30" r="F31">
        <v>23.69</v>
      </c>
      <c s="30" r="G31">
        <v>23.24</v>
      </c>
      <c s="30" r="H31">
        <v>30.59</v>
      </c>
      <c s="30" r="I31">
        <v>29.17</v>
      </c>
      <c s="30" r="J31">
        <v>29.45</v>
      </c>
      <c s="30" r="K31">
        <v>29.96</v>
      </c>
      <c s="30" r="L31">
        <v>30.59</v>
      </c>
    </row>
    <row>
      <c s="29" r="A32">
        <v>23</v>
      </c>
      <c t="s" r="B32">
        <v>129</v>
      </c>
      <c s="24" r="C32">
        <v>1.88</v>
      </c>
      <c s="24" r="D32">
        <v>3.88</v>
      </c>
      <c s="30" r="E32">
        <v>42.81</v>
      </c>
      <c s="30" r="F32">
        <v>48.34</v>
      </c>
      <c s="24" r="G32">
        <v>8.89</v>
      </c>
      <c s="24" r="H32">
        <v>8.87</v>
      </c>
      <c s="24" r="I32">
        <v>1.47</v>
      </c>
      <c s="24" r="J32">
        <v>2.40</v>
      </c>
      <c s="24" r="K32">
        <v>2.32</v>
      </c>
      <c s="24" r="L32">
        <v>2.32</v>
      </c>
    </row>
    <row>
      <c s="29" r="A33">
        <v>24</v>
      </c>
      <c t="s" r="B33">
        <v>130</v>
      </c>
      <c s="30" r="C33">
        <v>60.49</v>
      </c>
      <c s="30" r="D33">
        <v>62.00</v>
      </c>
      <c s="30" r="E33">
        <v>81.13</v>
      </c>
      <c s="30" r="F33">
        <v>90.38</v>
      </c>
      <c s="30" r="G33">
        <v>73.75</v>
      </c>
      <c s="30" r="H33">
        <v>97.19</v>
      </c>
      <c s="31" r="I33">
        <v>104.14</v>
      </c>
      <c s="30" r="J33">
        <v>73.26</v>
      </c>
      <c s="30" r="K33">
        <v>79.11</v>
      </c>
      <c s="30" r="L33">
        <v>80.80</v>
      </c>
    </row>
    <row>
      <c s="29" r="A34">
        <v>25</v>
      </c>
      <c t="s" r="B34">
        <v>131</v>
      </c>
      <c s="30" r="C34">
        <v>12.73</v>
      </c>
      <c s="30" r="D34">
        <v>18.57</v>
      </c>
      <c s="30" r="E34">
        <v>16.29</v>
      </c>
      <c s="30" r="F34">
        <v>15.32</v>
      </c>
      <c s="30" r="G34">
        <v>18.71</v>
      </c>
      <c s="30" r="H34">
        <v>25.53</v>
      </c>
      <c s="30" r="I34">
        <v>18.92</v>
      </c>
      <c s="30" r="J34">
        <v>16.56</v>
      </c>
      <c s="30" r="K34">
        <v>17.09</v>
      </c>
      <c s="30" r="L34">
        <v>17.30</v>
      </c>
    </row>
    <row>
      <c s="29" r="A35">
        <v>26</v>
      </c>
      <c t="s" r="B35">
        <v>132</v>
      </c>
      <c s="30" r="C35">
        <v>30.34</v>
      </c>
      <c s="30" r="D35">
        <v>30.14</v>
      </c>
      <c s="30" r="E35">
        <v>33.84</v>
      </c>
      <c s="30" r="F35">
        <v>34.79</v>
      </c>
      <c s="30" r="G35">
        <v>31.00</v>
      </c>
      <c s="30" r="H35">
        <v>38.30</v>
      </c>
      <c s="30" r="I35">
        <v>39.88</v>
      </c>
      <c s="30" r="J35">
        <v>41.47</v>
      </c>
      <c s="30" r="K35">
        <v>43.25</v>
      </c>
      <c s="30" r="L35">
        <v>44.30</v>
      </c>
    </row>
    <row>
      <c s="39" r="A36">
        <v>27</v>
      </c>
      <c s="20" t="s" r="B36">
        <v>133</v>
      </c>
      <c s="42" r="C36">
        <v>556.49</v>
      </c>
      <c s="42" r="D36">
        <v>640.31</v>
      </c>
      <c s="42" r="E36">
        <v>785.93</v>
      </c>
      <c s="42" r="F36">
        <v>811.80</v>
      </c>
      <c s="42" r="G36">
        <v>785.98</v>
      </c>
      <c s="42" r="H36">
        <v>908.85</v>
      </c>
      <c s="42" r="I36">
        <v>842.96</v>
      </c>
      <c s="42" r="J36">
        <v>789.75</v>
      </c>
      <c s="42" r="K36">
        <v>794.51</v>
      </c>
      <c s="42" r="L36">
        <v>832.28</v>
      </c>
    </row>
    <row>
      <c t="s" r="A37"/>
      <c t="s" r="B37"/>
      <c t="s" r="C37"/>
      <c t="s" r="D37"/>
      <c t="s" r="E37"/>
      <c t="s" r="F37"/>
      <c t="s" r="G37"/>
      <c t="s" r="H37"/>
      <c t="s" r="I37"/>
      <c t="s" r="J37"/>
      <c t="s" r="K37"/>
      <c t="s" r="L37"/>
    </row>
    <row>
      <c s="29" r="A38">
        <v>28</v>
      </c>
      <c t="s" r="B38">
        <v>134</v>
      </c>
      <c s="30" r="C38">
        <v>19.33</v>
      </c>
      <c s="30" r="D38">
        <v>21.40</v>
      </c>
      <c s="30" r="E38">
        <v>23.97</v>
      </c>
      <c s="30" r="F38">
        <v>24.95</v>
      </c>
      <c s="30" r="G38">
        <v>26.11</v>
      </c>
      <c s="30" r="H38">
        <v>28.06</v>
      </c>
      <c s="30" r="I38">
        <v>27.86</v>
      </c>
      <c s="30" r="J38">
        <v>32.17</v>
      </c>
      <c s="30" r="K38">
        <v>36.08</v>
      </c>
      <c s="30" r="L38">
        <v>36.71</v>
      </c>
    </row>
    <row>
      <c s="29" r="A39">
        <v>29</v>
      </c>
      <c t="s" r="B39">
        <v>135</v>
      </c>
      <c s="24" r="C39">
        <v>6.12</v>
      </c>
      <c s="24" r="D39">
        <v>5.81</v>
      </c>
      <c s="24" r="E39">
        <v>7.02</v>
      </c>
      <c s="24" r="F39">
        <v>4.94</v>
      </c>
      <c s="24" r="G39">
        <v>9.70</v>
      </c>
      <c s="24" r="H39">
        <v>6.68</v>
      </c>
      <c s="24" r="I39">
        <v>6.69</v>
      </c>
      <c s="24" r="J39">
        <v>6.51</v>
      </c>
      <c s="24" r="K39">
        <v>6.54</v>
      </c>
      <c s="24" r="L39">
        <v>6.75</v>
      </c>
    </row>
    <row>
      <c s="29" r="A40">
        <v>30</v>
      </c>
      <c t="s" r="B40">
        <v>136</v>
      </c>
      <c s="30" r="C40">
        <v>29.76</v>
      </c>
      <c s="30" r="D40">
        <v>31.06</v>
      </c>
      <c s="30" r="E40">
        <v>32.40</v>
      </c>
      <c s="30" r="F40">
        <v>32.31</v>
      </c>
      <c s="30" r="G40">
        <v>31.75</v>
      </c>
      <c s="30" r="H40">
        <v>35.73</v>
      </c>
      <c s="30" r="I40">
        <v>38.39</v>
      </c>
      <c s="30" r="J40">
        <v>39.87</v>
      </c>
      <c s="30" r="K40">
        <v>42.19</v>
      </c>
      <c s="30" r="L40">
        <v>43.04</v>
      </c>
    </row>
    <row>
      <c s="29" r="A41">
        <v>31</v>
      </c>
      <c t="s" r="B41">
        <v>137</v>
      </c>
      <c s="24" r="C41">
        <v>2.91</v>
      </c>
      <c s="24" r="D41">
        <v>4.97</v>
      </c>
      <c s="24" r="E41">
        <v>5.39</v>
      </c>
      <c s="24" r="F41">
        <v>6.32</v>
      </c>
      <c s="24" r="G41">
        <v>6.67</v>
      </c>
      <c s="24" r="H41">
        <v>6.11</v>
      </c>
      <c s="24" r="I41">
        <v>6.42</v>
      </c>
      <c s="24" r="J41">
        <v>6.90</v>
      </c>
      <c s="24" r="K41">
        <v>6.96</v>
      </c>
      <c s="24" r="L41">
        <v>7.17</v>
      </c>
    </row>
    <row>
      <c s="29" r="A42">
        <v>32</v>
      </c>
      <c t="s" r="B42">
        <v>138</v>
      </c>
      <c s="31" r="C42">
        <v>111.19</v>
      </c>
      <c s="31" r="D42">
        <v>135.08</v>
      </c>
      <c s="31" r="E42">
        <v>137.12</v>
      </c>
      <c s="31" r="F42">
        <v>137.94</v>
      </c>
      <c s="31" r="G42">
        <v>111.86</v>
      </c>
      <c s="31" r="H42">
        <v>113.02</v>
      </c>
      <c s="31" r="I42">
        <v>168.61</v>
      </c>
      <c s="31" r="J42">
        <v>215.33</v>
      </c>
      <c s="31" r="K42">
        <v>191.98</v>
      </c>
      <c s="31" r="L42">
        <v>175.32</v>
      </c>
    </row>
    <row>
      <c s="29" r="A43">
        <v>33</v>
      </c>
      <c t="s" r="B43">
        <v>139</v>
      </c>
      <c s="30" r="C43">
        <v>28.54</v>
      </c>
      <c s="30" r="D43">
        <v>58.96</v>
      </c>
      <c s="30" r="E43">
        <v>62.12</v>
      </c>
      <c s="30" r="F43">
        <v>63.97</v>
      </c>
      <c s="30" r="G43">
        <v>73.51</v>
      </c>
      <c s="30" r="H43">
        <v>75.01</v>
      </c>
      <c s="30" r="I43">
        <v>30.05</v>
      </c>
      <c s="30" r="J43">
        <v>23.02</v>
      </c>
      <c s="30" r="K43">
        <v>23.42</v>
      </c>
      <c s="30" r="L43">
        <v>24.05</v>
      </c>
    </row>
    <row>
      <c s="39" r="A44">
        <v>34</v>
      </c>
      <c s="20" t="s" r="B44">
        <v>140</v>
      </c>
      <c s="42" r="C44">
        <v>197.84</v>
      </c>
      <c s="42" r="D44">
        <v>257.29</v>
      </c>
      <c s="42" r="E44">
        <v>268.01</v>
      </c>
      <c s="42" r="F44">
        <v>270.41</v>
      </c>
      <c s="42" r="G44">
        <v>259.60</v>
      </c>
      <c s="42" r="H44">
        <v>264.61</v>
      </c>
      <c s="42" r="I44">
        <v>278.03</v>
      </c>
      <c s="42" r="J44">
        <v>323.79</v>
      </c>
      <c s="42" r="K44">
        <v>307.17</v>
      </c>
      <c s="42" r="L44">
        <v>293.04</v>
      </c>
    </row>
    <row>
      <c s="39" r="A45">
        <v>35</v>
      </c>
      <c s="20" t="s" r="B45">
        <v>141</v>
      </c>
      <c s="42" r="C45">
        <v>754.34</v>
      </c>
      <c s="42" r="D45">
        <v>897.60</v>
      </c>
      <c s="45" r="E45">
        <v>1053.94</v>
      </c>
      <c s="45" r="F45">
        <v>1082.21</v>
      </c>
      <c s="45" r="G45">
        <v>1045.58</v>
      </c>
      <c s="45" r="H45">
        <v>1173.46</v>
      </c>
      <c s="45" r="I45">
        <v>1120.99</v>
      </c>
      <c s="45" r="J45">
        <v>1113.54</v>
      </c>
      <c s="45" r="K45">
        <v>1101.69</v>
      </c>
      <c s="45" r="L45">
        <v>1125.32</v>
      </c>
    </row>
    <row>
      <c s="29" r="A46">
        <v>36</v>
      </c>
      <c t="s" r="B46">
        <v>142</v>
      </c>
      <c s="31" r="C46">
        <v>100.03</v>
      </c>
      <c s="31" r="D46">
        <v>105.80</v>
      </c>
      <c s="31" r="E46">
        <v>113.32</v>
      </c>
      <c s="31" r="F46">
        <v>120.01</v>
      </c>
      <c s="31" r="G46">
        <v>119.23</v>
      </c>
      <c s="31" r="H46">
        <v>119.12</v>
      </c>
      <c s="31" r="I46">
        <v>108.83</v>
      </c>
      <c s="31" r="J46">
        <v>103.08</v>
      </c>
      <c s="31" r="K46">
        <v>100.21</v>
      </c>
      <c s="31" r="L46">
        <v>101.27</v>
      </c>
    </row>
    <row>
      <c s="39" r="A47">
        <v>37</v>
      </c>
      <c s="20" t="s" r="B47">
        <v>143</v>
      </c>
      <c s="42" r="C47">
        <v>854.37</v>
      </c>
      <c s="45" r="D47">
        <v>1003.40</v>
      </c>
      <c s="45" r="E47">
        <v>1167.26</v>
      </c>
      <c s="45" r="F47">
        <v>1202.22</v>
      </c>
      <c s="45" r="G47">
        <v>1164.81</v>
      </c>
      <c s="45" r="H47">
        <v>1292.58</v>
      </c>
      <c s="45" r="I47">
        <v>1229.81</v>
      </c>
      <c s="45" r="J47">
        <v>1216.62</v>
      </c>
      <c s="45" r="K47">
        <v>1201.90</v>
      </c>
      <c s="45" r="L47">
        <v>1226.58</v>
      </c>
    </row>
    <row>
      <c t="s" r="A48"/>
      <c t="s" r="B48"/>
      <c t="s" r="C48"/>
      <c t="s" r="D48"/>
      <c t="s" r="E48"/>
      <c t="s" r="F48"/>
      <c t="s" r="G48"/>
      <c t="s" r="H48"/>
      <c t="s" r="I48"/>
      <c t="s" r="J48"/>
      <c t="s" r="K48"/>
      <c t="s" r="L48"/>
    </row>
    <row>
      <c s="39" r="A49">
        <v>38</v>
      </c>
      <c s="20" t="s" r="B49">
        <v>144</v>
      </c>
      <c s="42" r="C49">
        <v>195.32</v>
      </c>
      <c s="42" r="D49">
        <v>312.92</v>
      </c>
      <c s="42" r="E49">
        <v>281.04</v>
      </c>
      <c s="42" r="F49">
        <v>305.22</v>
      </c>
      <c s="42" r="G49">
        <v>157.02</v>
      </c>
      <c s="42" r="H49">
        <v>377.22</v>
      </c>
      <c s="42" r="I49">
        <v>243.05</v>
      </c>
      <c s="43" r="J49">
        <v>40.40</v>
      </c>
      <c s="42" r="K49">
        <v>325.11</v>
      </c>
      <c s="42" r="L49">
        <v>340.51</v>
      </c>
    </row>
    <row>
      <c t="s" r="A50"/>
      <c t="s" r="B50"/>
      <c t="s" r="C50"/>
      <c t="s" r="D50"/>
      <c t="s" r="E50"/>
      <c t="s" r="F50"/>
      <c t="s" r="G50"/>
      <c t="s" r="H50"/>
      <c t="s" r="I50"/>
      <c t="s" r="J50"/>
      <c t="s" r="K50"/>
      <c t="s" r="L50"/>
    </row>
    <row>
      <c t="s" r="A51"/>
      <c s="21" t="s" r="B51">
        <v>102</v>
      </c>
      <c s="34" r="C51">
        <f>_xlfn.HYPERLINK("mailto:econ@beeflambnz.com","econ@beeflambnz.com")</f>
      </c>
      <c t="s" r="D51"/>
      <c t="s" r="E51"/>
      <c s="19" t="s" r="F51">
        <v>54</v>
      </c>
      <c t="s" r="G51"/>
      <c t="s" r="H51"/>
      <c t="s" r="I51"/>
      <c t="s" r="J51"/>
      <c t="s" r="K51"/>
      <c s="21" t="s" r="L51">
        <v>103</v>
      </c>
    </row>
  </sheetData>
  <mergeCells count="1">
    <mergeCell ref="C51:E51"/>
  </mergeCells>
  <hyperlinks>
    <hyperlink ref="L2" location="Notes!A1" display="Notes tab"/>
    <hyperlink ref="F51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159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160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161</v>
      </c>
      <c s="46" r="C8">
        <v>6173881</v>
      </c>
      <c s="46" r="D8">
        <v>7136547</v>
      </c>
      <c s="46" r="E8">
        <v>7559584</v>
      </c>
      <c s="46" r="F8">
        <v>7970144</v>
      </c>
      <c s="46" r="G8">
        <v>9196138</v>
      </c>
      <c s="46" r="H8">
        <v>9381461</v>
      </c>
      <c s="46" r="I8">
        <v>8927066</v>
      </c>
      <c s="46" r="J8">
        <v>8660140</v>
      </c>
      <c s="46" r="K8">
        <v>8660140</v>
      </c>
      <c s="46" r="L8">
        <v>8660140</v>
      </c>
    </row>
    <row>
      <c s="22" r="A9">
        <v>2</v>
      </c>
      <c t="s" r="B9">
        <v>162</v>
      </c>
      <c s="35" r="C9">
        <v>79865</v>
      </c>
      <c s="36" r="D9">
        <v>116738</v>
      </c>
      <c s="36" r="E9">
        <v>118781</v>
      </c>
      <c s="36" r="F9">
        <v>122767</v>
      </c>
      <c s="36" r="G9">
        <v>130661</v>
      </c>
      <c s="36" r="H9">
        <v>129605</v>
      </c>
      <c s="36" r="I9">
        <v>100586</v>
      </c>
      <c s="36" r="J9">
        <v>100494</v>
      </c>
      <c s="36" r="K9">
        <v>100494</v>
      </c>
      <c s="36" r="L9">
        <v>100494</v>
      </c>
    </row>
    <row>
      <c s="22" r="A10">
        <v>3</v>
      </c>
      <c t="s" r="B10">
        <v>163</v>
      </c>
      <c s="35" r="C10">
        <v>89008</v>
      </c>
      <c s="36" r="D10">
        <v>102316</v>
      </c>
      <c s="36" r="E10">
        <v>109130</v>
      </c>
      <c s="36" r="F10">
        <v>116874</v>
      </c>
      <c s="36" r="G10">
        <v>134528</v>
      </c>
      <c s="36" r="H10">
        <v>141992</v>
      </c>
      <c s="36" r="I10">
        <v>132790</v>
      </c>
      <c s="36" r="J10">
        <v>129416</v>
      </c>
      <c s="36" r="K10">
        <v>129416</v>
      </c>
      <c s="36" r="L10">
        <v>129416</v>
      </c>
    </row>
    <row>
      <c s="22" r="A11">
        <v>4</v>
      </c>
      <c t="s" r="B11">
        <v>164</v>
      </c>
      <c s="36" r="C11">
        <v>271801</v>
      </c>
      <c s="36" r="D11">
        <v>338443</v>
      </c>
      <c s="36" r="E11">
        <v>396812</v>
      </c>
      <c s="36" r="F11">
        <v>348026</v>
      </c>
      <c s="36" r="G11">
        <v>397240</v>
      </c>
      <c s="36" r="H11">
        <v>479750</v>
      </c>
      <c s="36" r="I11">
        <v>445125</v>
      </c>
      <c s="36" r="J11">
        <v>305763</v>
      </c>
      <c s="36" r="K11">
        <v>413838</v>
      </c>
      <c s="36" r="L11">
        <v>396755</v>
      </c>
    </row>
    <row>
      <c s="22" r="A12">
        <v>5</v>
      </c>
      <c t="s" r="B12">
        <v>165</v>
      </c>
      <c s="36" r="C12">
        <v>312851</v>
      </c>
      <c s="36" r="D12">
        <v>345509</v>
      </c>
      <c s="36" r="E12">
        <v>381582</v>
      </c>
      <c s="36" r="F12">
        <v>351354</v>
      </c>
      <c s="36" r="G12">
        <v>319292</v>
      </c>
      <c s="36" r="H12">
        <v>423785</v>
      </c>
      <c s="36" r="I12">
        <v>400782</v>
      </c>
      <c s="36" r="J12">
        <v>356615</v>
      </c>
      <c s="36" r="K12">
        <v>536390</v>
      </c>
      <c s="36" r="L12">
        <v>552944</v>
      </c>
    </row>
    <row>
      <c s="22" r="A13">
        <v>6</v>
      </c>
      <c t="s" r="B13">
        <v>166</v>
      </c>
      <c s="35" r="C13">
        <v>14169</v>
      </c>
      <c s="35" r="D13">
        <v>17266</v>
      </c>
      <c s="35" r="E13">
        <v>28260</v>
      </c>
      <c s="35" r="F13">
        <v>19499</v>
      </c>
      <c s="35" r="G13">
        <v>18171</v>
      </c>
      <c s="35" r="H13">
        <v>19617</v>
      </c>
      <c s="35" r="I13">
        <v>23309</v>
      </c>
      <c s="35" r="J13">
        <v>29098</v>
      </c>
      <c s="35" r="K13">
        <v>35169</v>
      </c>
      <c s="35" r="L13">
        <v>37050</v>
      </c>
    </row>
    <row>
      <c s="22" r="A14">
        <v>7</v>
      </c>
      <c t="s" r="B14">
        <v>167</v>
      </c>
      <c s="23" r="C14">
        <v>244</v>
      </c>
      <c s="29" r="D14">
        <v>50</v>
      </c>
      <c s="23" r="E14">
        <v>243</v>
      </c>
      <c s="29" r="F14">
        <v>16</v>
      </c>
      <c s="22" r="G14">
        <v>9</v>
      </c>
      <c t="s" r="H14"/>
      <c t="s" r="I14"/>
      <c t="s" r="J14"/>
      <c t="s" r="K14"/>
      <c t="s" r="L14"/>
    </row>
    <row>
      <c s="20" t="s" r="A15"/>
      <c s="20" t="s" r="B15">
        <v>168</v>
      </c>
      <c s="47" r="C15">
        <v>6941819</v>
      </c>
      <c s="47" r="D15">
        <v>8056869</v>
      </c>
      <c s="47" r="E15">
        <v>8594392</v>
      </c>
      <c s="47" r="F15">
        <v>8928680</v>
      </c>
      <c s="48" r="G15">
        <v>10196039</v>
      </c>
      <c s="48" r="H15">
        <v>10576210</v>
      </c>
      <c s="48" r="I15">
        <v>10029658</v>
      </c>
      <c s="47" r="J15">
        <v>9581526</v>
      </c>
      <c s="47" r="K15">
        <v>9478728</v>
      </c>
      <c s="47" r="L15">
        <v>9476923</v>
      </c>
    </row>
    <row>
      <c t="s" r="A16"/>
      <c t="s" r="B16"/>
      <c t="s" r="C16"/>
      <c t="s" r="D16"/>
      <c t="s" r="E16"/>
      <c t="s" r="F16"/>
      <c t="s" r="G16"/>
      <c t="s" r="H16"/>
      <c t="s" r="I16"/>
      <c t="s" r="J16"/>
      <c t="s" r="K16"/>
      <c t="s" r="L16"/>
    </row>
    <row>
      <c s="22" r="A17">
        <v>8</v>
      </c>
      <c t="s" r="B17">
        <v>169</v>
      </c>
      <c s="36" r="C17">
        <v>122706</v>
      </c>
      <c s="36" r="D17">
        <v>149486</v>
      </c>
      <c s="36" r="E17">
        <v>152458</v>
      </c>
      <c s="36" r="F17">
        <v>177604</v>
      </c>
      <c s="36" r="G17">
        <v>148235</v>
      </c>
      <c s="36" r="H17">
        <v>343508</v>
      </c>
      <c s="36" r="I17">
        <v>331523</v>
      </c>
      <c s="36" r="J17">
        <v>153913</v>
      </c>
      <c s="36" r="K17">
        <v>276315</v>
      </c>
      <c s="36" r="L17">
        <v>253917</v>
      </c>
    </row>
    <row>
      <c s="22" r="A18">
        <v>9</v>
      </c>
      <c t="s" r="B18">
        <v>170</v>
      </c>
      <c s="35" r="C18">
        <v>39683</v>
      </c>
      <c s="35" r="D18">
        <v>39107</v>
      </c>
      <c s="35" r="E18">
        <v>15928</v>
      </c>
      <c s="35" r="F18">
        <v>21885</v>
      </c>
      <c s="36" r="G18">
        <v>172779</v>
      </c>
      <c s="35" r="H18">
        <v>48547</v>
      </c>
      <c s="35" r="I18">
        <v>32051</v>
      </c>
      <c s="36" r="J18">
        <v>200619</v>
      </c>
      <c s="36" r="K18">
        <v>209899</v>
      </c>
      <c s="36" r="L18">
        <v>263683</v>
      </c>
    </row>
    <row>
      <c s="29" r="A19">
        <v>10</v>
      </c>
      <c t="s" r="B19">
        <v>171</v>
      </c>
      <c s="25" r="C19">
        <v>8750</v>
      </c>
      <c s="25" r="D19">
        <v>4459</v>
      </c>
      <c s="25" r="E19">
        <v>5000</v>
      </c>
      <c s="25" r="F19">
        <v>9576</v>
      </c>
      <c s="25" r="G19">
        <v>5636</v>
      </c>
      <c s="25" r="H19">
        <v>6014</v>
      </c>
      <c s="25" r="I19">
        <v>3662</v>
      </c>
      <c s="25" r="J19">
        <v>4672</v>
      </c>
      <c s="25" r="K19">
        <v>4783</v>
      </c>
      <c s="25" r="L19">
        <v>4372</v>
      </c>
    </row>
    <row>
      <c s="29" r="A20">
        <v>11</v>
      </c>
      <c t="s" r="B20">
        <v>172</v>
      </c>
      <c s="36" r="C20">
        <v>206200</v>
      </c>
      <c s="36" r="D20">
        <v>272295</v>
      </c>
      <c s="36" r="E20">
        <v>309485</v>
      </c>
      <c s="36" r="F20">
        <v>395354</v>
      </c>
      <c s="36" r="G20">
        <v>349695</v>
      </c>
      <c s="36" r="H20">
        <v>323793</v>
      </c>
      <c s="36" r="I20">
        <v>297618</v>
      </c>
      <c s="36" r="J20">
        <v>517423</v>
      </c>
      <c s="36" r="K20">
        <v>573332</v>
      </c>
      <c s="36" r="L20">
        <v>656512</v>
      </c>
    </row>
    <row>
      <c s="29" r="A21">
        <v>12</v>
      </c>
      <c t="s" r="B21">
        <v>173</v>
      </c>
      <c s="25" r="C21">
        <v>5291</v>
      </c>
      <c s="25" r="D21">
        <v>7973</v>
      </c>
      <c s="35" r="E21">
        <v>15929</v>
      </c>
      <c s="35" r="F21">
        <v>10476</v>
      </c>
      <c s="35" r="G21">
        <v>10971</v>
      </c>
      <c s="25" r="H21">
        <v>4196</v>
      </c>
      <c s="25" r="I21">
        <v>4258</v>
      </c>
      <c s="25" r="J21">
        <v>4473</v>
      </c>
      <c s="25" r="K21">
        <v>4309</v>
      </c>
      <c s="25" r="L21">
        <v>4347</v>
      </c>
    </row>
    <row>
      <c s="29" r="A22">
        <v>13</v>
      </c>
      <c t="s" r="B22">
        <v>174</v>
      </c>
      <c s="36" r="C22">
        <v>291667</v>
      </c>
      <c s="36" r="D22">
        <v>308405</v>
      </c>
      <c s="36" r="E22">
        <v>329258</v>
      </c>
      <c s="36" r="F22">
        <v>337689</v>
      </c>
      <c s="36" r="G22">
        <v>372188</v>
      </c>
      <c s="36" r="H22">
        <v>376821</v>
      </c>
      <c s="36" r="I22">
        <v>378338</v>
      </c>
      <c s="36" r="J22">
        <v>383745</v>
      </c>
      <c s="36" r="K22">
        <v>387597</v>
      </c>
      <c s="36" r="L22">
        <v>391189</v>
      </c>
    </row>
    <row>
      <c s="29" r="A23">
        <v>14</v>
      </c>
      <c t="s" r="B23">
        <v>175</v>
      </c>
      <c s="35" r="C23">
        <v>10288</v>
      </c>
      <c s="35" r="D23">
        <v>10237</v>
      </c>
      <c s="25" r="E23">
        <v>9144</v>
      </c>
      <c s="35" r="F23">
        <v>11863</v>
      </c>
      <c s="25" r="G23">
        <v>9344</v>
      </c>
      <c s="35" r="H23">
        <v>10427</v>
      </c>
      <c s="25" r="I23">
        <v>9594</v>
      </c>
      <c s="25" r="J23">
        <v>7345</v>
      </c>
      <c s="25" r="K23">
        <v>9122</v>
      </c>
      <c s="25" r="L23">
        <v>8687</v>
      </c>
    </row>
    <row>
      <c s="20" t="s" r="A24"/>
      <c s="20" t="s" r="B24">
        <v>176</v>
      </c>
      <c s="47" r="C24">
        <v>7626404</v>
      </c>
      <c s="47" r="D24">
        <v>8848831</v>
      </c>
      <c s="47" r="E24">
        <v>9431594</v>
      </c>
      <c s="47" r="F24">
        <v>9893127</v>
      </c>
      <c s="48" r="G24">
        <v>11264887</v>
      </c>
      <c s="48" r="H24">
        <v>11689516</v>
      </c>
      <c s="48" r="I24">
        <v>11086702</v>
      </c>
      <c s="48" r="J24">
        <v>10853716</v>
      </c>
      <c s="48" r="K24">
        <v>11340804</v>
      </c>
      <c s="48" r="L24">
        <v>11459506</v>
      </c>
    </row>
    <row>
      <c t="s" r="A25"/>
      <c t="s" r="B25"/>
      <c t="s" r="C25"/>
      <c t="s" r="D25"/>
      <c t="s" r="E25"/>
      <c t="s" r="F25"/>
      <c t="s" r="G25"/>
      <c t="s" r="H25"/>
      <c t="s" r="I25"/>
      <c t="s" r="J25"/>
      <c t="s" r="K25"/>
      <c t="s" r="L25"/>
    </row>
    <row>
      <c t="s" r="A26"/>
      <c s="20" t="s" r="B26">
        <v>177</v>
      </c>
      <c t="s" r="C26"/>
      <c t="s" r="D26"/>
      <c t="s" r="E26"/>
      <c t="s" r="F26"/>
      <c t="s" r="G26"/>
      <c t="s" r="H26"/>
      <c t="s" r="I26"/>
      <c t="s" r="J26"/>
      <c t="s" r="K26"/>
      <c t="s" r="L26"/>
    </row>
    <row>
      <c s="29" r="A27">
        <v>15</v>
      </c>
      <c t="s" r="B27">
        <v>178</v>
      </c>
      <c s="36" r="C27">
        <v>143071</v>
      </c>
      <c s="36" r="D27">
        <v>185876</v>
      </c>
      <c s="36" r="E27">
        <v>212342</v>
      </c>
      <c s="36" r="F27">
        <v>262333</v>
      </c>
      <c s="36" r="G27">
        <v>195400</v>
      </c>
      <c s="36" r="H27">
        <v>196972</v>
      </c>
      <c s="36" r="I27">
        <v>219436</v>
      </c>
      <c s="36" r="J27">
        <v>189139</v>
      </c>
      <c s="36" r="K27">
        <v>189139</v>
      </c>
      <c s="36" r="L27">
        <v>175000</v>
      </c>
    </row>
    <row>
      <c s="29" r="A28">
        <v>16</v>
      </c>
      <c t="s" r="B28">
        <v>179</v>
      </c>
      <c s="36" r="C28">
        <v>889312</v>
      </c>
      <c s="46" r="D28">
        <v>1161919</v>
      </c>
      <c s="46" r="E28">
        <v>1123065</v>
      </c>
      <c s="46" r="F28">
        <v>1147216</v>
      </c>
      <c s="46" r="G28">
        <v>1213413</v>
      </c>
      <c s="46" r="H28">
        <v>1185598</v>
      </c>
      <c s="46" r="I28">
        <v>1168062</v>
      </c>
      <c s="46" r="J28">
        <v>1183668</v>
      </c>
      <c s="46" r="K28">
        <v>1183668</v>
      </c>
      <c s="46" r="L28">
        <v>1185200</v>
      </c>
    </row>
    <row>
      <c s="29" r="A29">
        <v>17</v>
      </c>
      <c t="inlineStr" r="B29">
        <is xml:space="preserve">
          <r>
            <rPr/>
            <t>Reserves</t>
          </r>
          <r>
            <rPr>
              <color rgb="FFFF0000"/>
              <sz val="14"/>
            </rPr>
            <t>*</t>
          </r>
          <r>
            <rPr/>
            <t/>
          </r>
        </is>
      </c>
      <c s="36" r="C29">
        <v>820812</v>
      </c>
      <c s="46" r="D29">
        <v>1116943</v>
      </c>
      <c s="46" r="E29">
        <v>1371257</v>
      </c>
      <c s="46" r="F29">
        <v>1491915</v>
      </c>
      <c s="46" r="G29">
        <v>1720720</v>
      </c>
      <c s="46" r="H29">
        <v>1752302</v>
      </c>
      <c s="46" r="I29">
        <v>1375767</v>
      </c>
      <c s="36" r="J29">
        <v>912144</v>
      </c>
      <c s="36" r="K29">
        <v>926696</v>
      </c>
      <c s="36" r="L29">
        <v>934244</v>
      </c>
    </row>
    <row>
      <c s="29" r="A30">
        <v>18</v>
      </c>
      <c t="s" r="B30">
        <v>180</v>
      </c>
      <c s="46" r="C30">
        <v>5773209</v>
      </c>
      <c s="46" r="D30">
        <v>6384093</v>
      </c>
      <c s="46" r="E30">
        <v>6724930</v>
      </c>
      <c s="46" r="F30">
        <v>6991663</v>
      </c>
      <c s="46" r="G30">
        <v>8135354</v>
      </c>
      <c s="46" r="H30">
        <v>8554644</v>
      </c>
      <c s="46" r="I30">
        <v>8323437</v>
      </c>
      <c s="46" r="J30">
        <v>8568765</v>
      </c>
      <c s="46" r="K30">
        <v>9041301</v>
      </c>
      <c s="46" r="L30">
        <v>9165062</v>
      </c>
    </row>
    <row>
      <c s="20" t="s" r="A31"/>
      <c s="20" t="s" r="B31">
        <v>181</v>
      </c>
      <c s="47" r="C31">
        <v>7626404</v>
      </c>
      <c s="47" r="D31">
        <v>8848831</v>
      </c>
      <c s="47" r="E31">
        <v>9431594</v>
      </c>
      <c s="47" r="F31">
        <v>9893127</v>
      </c>
      <c s="48" r="G31">
        <v>11264887</v>
      </c>
      <c s="48" r="H31">
        <v>11689516</v>
      </c>
      <c s="48" r="I31">
        <v>11086702</v>
      </c>
      <c s="48" r="J31">
        <v>10853716</v>
      </c>
      <c s="20" t="s" r="K31"/>
      <c s="20" t="s" r="L31"/>
    </row>
    <row>
      <c t="s" r="A32"/>
      <c t="s" r="B32"/>
      <c t="s" r="C32"/>
      <c t="s" r="D32"/>
      <c t="s" r="E32"/>
      <c t="s" r="F32"/>
      <c t="s" r="G32"/>
      <c t="s" r="H32"/>
      <c t="s" r="I32"/>
      <c t="s" r="J32"/>
      <c t="s" r="K32"/>
      <c t="s" r="L32"/>
    </row>
    <row>
      <c s="29" r="A33">
        <v>19</v>
      </c>
      <c t="s" r="B33">
        <v>182</v>
      </c>
      <c s="25" r="C33">
        <v>2090</v>
      </c>
      <c s="25" r="D33">
        <v>2153</v>
      </c>
      <c s="25" r="E33">
        <v>2314</v>
      </c>
      <c s="25" r="F33">
        <v>2466</v>
      </c>
      <c s="25" r="G33">
        <v>2467</v>
      </c>
      <c s="25" r="H33">
        <v>2363</v>
      </c>
      <c s="25" r="I33">
        <v>2581</v>
      </c>
      <c s="25" r="J33">
        <v>2571</v>
      </c>
      <c s="25" r="K33">
        <v>2274</v>
      </c>
      <c s="25" r="L33">
        <v>2353</v>
      </c>
    </row>
    <row>
      <c s="29" r="A34">
        <v>20</v>
      </c>
      <c t="s" r="B34">
        <v>183</v>
      </c>
      <c s="23" r="C34">
        <v>270</v>
      </c>
      <c s="23" r="D34">
        <v>325</v>
      </c>
      <c s="23" r="E34">
        <v>379</v>
      </c>
      <c s="23" r="F34">
        <v>390</v>
      </c>
      <c s="23" r="G34">
        <v>411</v>
      </c>
      <c s="23" r="H34">
        <v>370</v>
      </c>
      <c s="23" r="I34">
        <v>406</v>
      </c>
      <c s="23" r="J34">
        <v>387</v>
      </c>
      <c s="23" r="K34">
        <v>357</v>
      </c>
      <c s="23" r="L34">
        <v>388</v>
      </c>
    </row>
    <row>
      <c s="29" r="A35">
        <v>21</v>
      </c>
      <c t="s" r="B35">
        <v>184</v>
      </c>
      <c s="29" r="C35">
        <v>37</v>
      </c>
      <c s="29" r="D35">
        <v>36</v>
      </c>
      <c s="29" r="E35">
        <v>54</v>
      </c>
      <c s="29" r="F35">
        <v>52</v>
      </c>
      <c s="29" r="G35">
        <v>54</v>
      </c>
      <c s="29" r="H35">
        <v>54</v>
      </c>
      <c s="29" r="I35">
        <v>59</v>
      </c>
      <c s="29" r="J35">
        <v>63</v>
      </c>
      <c s="29" r="K35">
        <v>61</v>
      </c>
      <c s="29" r="L35">
        <v>56</v>
      </c>
    </row>
    <row>
      <c s="39" r="A36">
        <v>22</v>
      </c>
      <c s="20" t="s" r="B36">
        <v>71</v>
      </c>
      <c s="49" r="C36">
        <v>3015</v>
      </c>
      <c s="49" r="D36">
        <v>3366</v>
      </c>
      <c s="49" r="E36">
        <v>3710</v>
      </c>
      <c s="49" r="F36">
        <v>3905</v>
      </c>
      <c s="49" r="G36">
        <v>4011</v>
      </c>
      <c s="49" r="H36">
        <v>3782</v>
      </c>
      <c s="49" r="I36">
        <v>4126</v>
      </c>
      <c s="49" r="J36">
        <v>3990</v>
      </c>
      <c s="49" r="K36">
        <v>3598</v>
      </c>
      <c s="49" r="L36">
        <v>3765</v>
      </c>
    </row>
    <row>
      <c s="29" r="A37">
        <v>23</v>
      </c>
      <c t="s" r="B37">
        <v>185</v>
      </c>
      <c s="23" r="C37">
        <v>423</v>
      </c>
      <c s="23" r="D37">
        <v>454</v>
      </c>
      <c s="23" r="E37">
        <v>457</v>
      </c>
      <c s="23" r="F37">
        <v>472</v>
      </c>
      <c s="23" r="G37">
        <v>499</v>
      </c>
      <c s="23" r="H37">
        <v>490</v>
      </c>
      <c s="23" r="I37">
        <v>478</v>
      </c>
      <c s="23" r="J37">
        <v>474</v>
      </c>
      <c s="23" r="K37">
        <v>474</v>
      </c>
      <c s="23" r="L37">
        <v>474</v>
      </c>
    </row>
    <row>
      <c t="s" r="A38"/>
      <c t="s" r="B38"/>
      <c t="s" r="C38"/>
      <c t="s" r="D38"/>
      <c t="s" r="E38"/>
      <c t="s" r="F38"/>
      <c t="s" r="G38"/>
      <c t="s" r="H38"/>
      <c t="s" r="I38"/>
      <c t="s" r="J38"/>
      <c t="s" r="K38"/>
      <c t="s" r="L38"/>
    </row>
    <row>
      <c t="s" r="A39"/>
      <c t="inlineStr" r="B39">
        <is xml:space="preserve">
          <r>
            <rPr>
              <color rgb="FFFF0000"/>
              <sz val="14"/>
            </rPr>
            <t>*</t>
          </r>
          <r>
            <rPr/>
            <t>Reserves shown in line 17 is not cash but a value that recognises that all (owned and leased) assets, e.g. leased land, are included under Assets at current market value.</t>
          </r>
        </is>
      </c>
      <c t="s" r="C39"/>
      <c t="s" r="D39"/>
      <c t="s" r="E39"/>
      <c t="s" r="F39"/>
      <c t="s" r="G39"/>
      <c t="s" r="H39"/>
      <c t="s" r="I39"/>
      <c t="s" r="J39"/>
      <c t="s" r="K39"/>
      <c t="s" r="L39"/>
    </row>
    <row>
      <c t="s" r="A40"/>
      <c s="50" t="s" r="B40">
        <v>186</v>
      </c>
      <c t="s" r="C40"/>
      <c t="s" r="D40"/>
      <c t="s" r="E40"/>
      <c t="s" r="F40"/>
      <c t="s" r="G40"/>
      <c t="s" r="H40"/>
      <c t="s" r="I40"/>
      <c t="s" r="J40"/>
      <c t="s" r="K40"/>
      <c t="s" r="L40"/>
    </row>
    <row>
      <c t="s" r="A41"/>
      <c t="s" r="B41"/>
      <c t="s" r="C41"/>
      <c t="s" r="D41"/>
      <c t="s" r="E41"/>
      <c t="s" r="F41"/>
      <c t="s" r="G41"/>
      <c t="s" r="H41"/>
      <c t="s" r="I41"/>
      <c t="s" r="J41"/>
      <c t="s" r="K41"/>
      <c t="s" r="L41"/>
    </row>
    <row>
      <c t="s" r="A42"/>
      <c s="21" t="s" r="B42">
        <v>102</v>
      </c>
      <c s="34" r="C42">
        <f>_xlfn.HYPERLINK("mailto:econ@beeflambnz.com","econ@beeflambnz.com")</f>
      </c>
      <c t="s" r="D42"/>
      <c t="s" r="E42"/>
      <c s="19" t="s" r="F42">
        <v>54</v>
      </c>
      <c t="s" r="G42"/>
      <c t="s" r="H42"/>
      <c t="s" r="I42"/>
      <c t="s" r="J42"/>
      <c t="s" r="K42"/>
      <c s="21" t="s" r="L42">
        <v>103</v>
      </c>
    </row>
  </sheetData>
  <mergeCells count="1">
    <mergeCell ref="C42:E42"/>
  </mergeCells>
  <hyperlinks>
    <hyperlink ref="L2" location="Notes!A1" display="Notes tab"/>
    <hyperlink ref="F42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187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160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161</v>
      </c>
      <c s="32" r="C8">
        <v>2047.72</v>
      </c>
      <c s="32" r="D8">
        <v>2120.19</v>
      </c>
      <c s="32" r="E8">
        <v>2037.62</v>
      </c>
      <c s="32" r="F8">
        <v>2041.01</v>
      </c>
      <c s="32" r="G8">
        <v>2292.73</v>
      </c>
      <c s="32" r="H8">
        <v>2480.56</v>
      </c>
      <c s="32" r="I8">
        <v>2163.61</v>
      </c>
      <c s="32" r="J8">
        <v>2170.46</v>
      </c>
      <c s="32" r="K8">
        <v>2406.93</v>
      </c>
      <c s="32" r="L8">
        <v>2300.17</v>
      </c>
    </row>
    <row>
      <c s="22" r="A9">
        <v>2</v>
      </c>
      <c t="s" r="B9">
        <v>162</v>
      </c>
      <c s="30" r="C9">
        <v>26.49</v>
      </c>
      <c s="30" r="D9">
        <v>34.68</v>
      </c>
      <c s="30" r="E9">
        <v>32.02</v>
      </c>
      <c s="30" r="F9">
        <v>31.44</v>
      </c>
      <c s="30" r="G9">
        <v>32.58</v>
      </c>
      <c s="30" r="H9">
        <v>34.27</v>
      </c>
      <c s="30" r="I9">
        <v>24.38</v>
      </c>
      <c s="30" r="J9">
        <v>25.19</v>
      </c>
      <c s="30" r="K9">
        <v>27.93</v>
      </c>
      <c s="30" r="L9">
        <v>26.69</v>
      </c>
    </row>
    <row>
      <c s="22" r="A10">
        <v>3</v>
      </c>
      <c t="s" r="B10">
        <v>163</v>
      </c>
      <c s="30" r="C10">
        <v>29.52</v>
      </c>
      <c s="30" r="D10">
        <v>30.40</v>
      </c>
      <c s="30" r="E10">
        <v>29.42</v>
      </c>
      <c s="30" r="F10">
        <v>29.93</v>
      </c>
      <c s="30" r="G10">
        <v>33.54</v>
      </c>
      <c s="30" r="H10">
        <v>37.54</v>
      </c>
      <c s="30" r="I10">
        <v>32.18</v>
      </c>
      <c s="30" r="J10">
        <v>32.44</v>
      </c>
      <c s="30" r="K10">
        <v>35.97</v>
      </c>
      <c s="30" r="L10">
        <v>34.37</v>
      </c>
    </row>
    <row>
      <c s="22" r="A11">
        <v>4</v>
      </c>
      <c t="s" r="B11">
        <v>164</v>
      </c>
      <c s="31" r="C11">
        <v>149.67</v>
      </c>
      <c s="31" r="D11">
        <v>174.46</v>
      </c>
      <c s="31" r="E11">
        <v>190.32</v>
      </c>
      <c s="31" r="F11">
        <v>156.00</v>
      </c>
      <c s="31" r="G11">
        <v>177.90</v>
      </c>
      <c s="31" r="H11">
        <v>223.04</v>
      </c>
      <c s="31" r="I11">
        <v>191.95</v>
      </c>
      <c s="31" r="J11">
        <v>132.77</v>
      </c>
      <c s="31" r="K11">
        <v>200.89</v>
      </c>
      <c s="31" r="L11">
        <v>188.48</v>
      </c>
    </row>
    <row>
      <c s="22" r="A12">
        <v>5</v>
      </c>
      <c t="s" r="B12">
        <v>165</v>
      </c>
      <c s="31" r="C12">
        <v>338.03</v>
      </c>
      <c s="31" r="D12">
        <v>315.53</v>
      </c>
      <c s="31" r="E12">
        <v>289.85</v>
      </c>
      <c s="31" r="F12">
        <v>275.57</v>
      </c>
      <c s="31" r="G12">
        <v>238.01</v>
      </c>
      <c s="31" r="H12">
        <v>337.27</v>
      </c>
      <c s="31" r="I12">
        <v>290.32</v>
      </c>
      <c s="31" r="J12">
        <v>283.48</v>
      </c>
      <c s="31" r="K12">
        <v>477.43</v>
      </c>
      <c s="31" r="L12">
        <v>438.15</v>
      </c>
    </row>
    <row>
      <c s="22" r="A13">
        <v>6</v>
      </c>
      <c t="s" r="B13">
        <v>166</v>
      </c>
      <c s="31" r="C13">
        <v>228.53</v>
      </c>
      <c s="31" r="D13">
        <v>283.05</v>
      </c>
      <c s="31" r="E13">
        <v>321.14</v>
      </c>
      <c s="31" r="F13">
        <v>232.13</v>
      </c>
      <c s="31" r="G13">
        <v>201.90</v>
      </c>
      <c s="31" r="H13">
        <v>215.57</v>
      </c>
      <c s="31" r="I13">
        <v>237.85</v>
      </c>
      <c s="31" r="J13">
        <v>277.12</v>
      </c>
      <c s="31" r="K13">
        <v>456.74</v>
      </c>
      <c s="31" r="L13">
        <v>570.00</v>
      </c>
    </row>
    <row>
      <c s="20" t="s" r="A14"/>
      <c s="20" t="s" r="B14">
        <v>168</v>
      </c>
      <c s="51" r="C14">
        <v>2302.43</v>
      </c>
      <c s="51" r="D14">
        <v>2393.60</v>
      </c>
      <c s="51" r="E14">
        <v>2316.55</v>
      </c>
      <c s="51" r="F14">
        <v>2286.47</v>
      </c>
      <c s="51" r="G14">
        <v>2542.02</v>
      </c>
      <c s="51" r="H14">
        <v>2796.46</v>
      </c>
      <c s="51" r="I14">
        <v>2430.84</v>
      </c>
      <c s="51" r="J14">
        <v>2401.38</v>
      </c>
      <c s="51" r="K14">
        <v>2634.44</v>
      </c>
      <c s="51" r="L14">
        <v>2517.11</v>
      </c>
    </row>
    <row>
      <c t="s" r="A15"/>
      <c t="s" r="B15"/>
      <c t="s" r="C15"/>
      <c t="s" r="D15"/>
      <c t="s" r="E15"/>
      <c t="s" r="F15"/>
      <c t="s" r="G15"/>
      <c t="s" r="H15"/>
      <c t="s" r="I15"/>
      <c t="s" r="J15"/>
      <c t="s" r="K15"/>
      <c t="s" r="L15"/>
    </row>
    <row>
      <c s="22" r="A16">
        <v>7</v>
      </c>
      <c t="s" r="B16">
        <v>169</v>
      </c>
      <c s="30" r="C16">
        <v>40.70</v>
      </c>
      <c s="30" r="D16">
        <v>44.41</v>
      </c>
      <c s="30" r="E16">
        <v>41.09</v>
      </c>
      <c s="30" r="F16">
        <v>45.48</v>
      </c>
      <c s="30" r="G16">
        <v>36.96</v>
      </c>
      <c s="30" r="H16">
        <v>90.83</v>
      </c>
      <c s="30" r="I16">
        <v>80.35</v>
      </c>
      <c s="30" r="J16">
        <v>38.57</v>
      </c>
      <c s="30" r="K16">
        <v>76.80</v>
      </c>
      <c s="30" r="L16">
        <v>67.44</v>
      </c>
    </row>
    <row>
      <c s="22" r="A17">
        <v>8</v>
      </c>
      <c t="s" r="B17">
        <v>170</v>
      </c>
      <c s="30" r="C17">
        <v>13.16</v>
      </c>
      <c s="30" r="D17">
        <v>11.62</v>
      </c>
      <c s="24" r="E17">
        <v>4.29</v>
      </c>
      <c s="24" r="F17">
        <v>5.60</v>
      </c>
      <c s="30" r="G17">
        <v>43.08</v>
      </c>
      <c s="30" r="H17">
        <v>12.84</v>
      </c>
      <c s="24" r="I17">
        <v>7.77</v>
      </c>
      <c s="30" r="J17">
        <v>50.28</v>
      </c>
      <c s="30" r="K17">
        <v>58.34</v>
      </c>
      <c s="30" r="L17">
        <v>70.04</v>
      </c>
    </row>
    <row>
      <c s="22" r="A18">
        <v>9</v>
      </c>
      <c t="s" r="B18">
        <v>171</v>
      </c>
      <c s="24" r="C18">
        <v>2.90</v>
      </c>
      <c s="24" r="D18">
        <v>1.32</v>
      </c>
      <c s="24" r="E18">
        <v>1.35</v>
      </c>
      <c s="24" r="F18">
        <v>2.45</v>
      </c>
      <c s="24" r="G18">
        <v>1.41</v>
      </c>
      <c s="24" r="H18">
        <v>1.59</v>
      </c>
      <c s="24" r="I18">
        <v>0.89</v>
      </c>
      <c s="24" r="J18">
        <v>1.17</v>
      </c>
      <c s="24" r="K18">
        <v>1.33</v>
      </c>
      <c s="24" r="L18">
        <v>1.16</v>
      </c>
    </row>
    <row>
      <c s="29" r="A19">
        <v>10</v>
      </c>
      <c t="s" r="B19">
        <v>172</v>
      </c>
      <c s="30" r="C19">
        <v>68.39</v>
      </c>
      <c s="30" r="D19">
        <v>80.90</v>
      </c>
      <c s="30" r="E19">
        <v>83.42</v>
      </c>
      <c s="31" r="F19">
        <v>101.24</v>
      </c>
      <c s="30" r="G19">
        <v>87.18</v>
      </c>
      <c s="30" r="H19">
        <v>85.61</v>
      </c>
      <c s="30" r="I19">
        <v>72.13</v>
      </c>
      <c s="31" r="J19">
        <v>129.68</v>
      </c>
      <c s="31" r="K19">
        <v>159.35</v>
      </c>
      <c s="31" r="L19">
        <v>174.37</v>
      </c>
    </row>
    <row>
      <c s="29" r="A20">
        <v>11</v>
      </c>
      <c t="s" r="B20">
        <v>173</v>
      </c>
      <c s="24" r="C20">
        <v>1.75</v>
      </c>
      <c s="24" r="D20">
        <v>2.37</v>
      </c>
      <c s="24" r="E20">
        <v>4.29</v>
      </c>
      <c s="24" r="F20">
        <v>2.68</v>
      </c>
      <c s="24" r="G20">
        <v>2.74</v>
      </c>
      <c s="24" r="H20">
        <v>1.11</v>
      </c>
      <c s="24" r="I20">
        <v>1.03</v>
      </c>
      <c s="24" r="J20">
        <v>1.12</v>
      </c>
      <c s="24" r="K20">
        <v>1.20</v>
      </c>
      <c s="24" r="L20">
        <v>1.15</v>
      </c>
    </row>
    <row>
      <c s="29" r="A21">
        <v>12</v>
      </c>
      <c t="s" r="B21">
        <v>174</v>
      </c>
      <c s="30" r="C21">
        <v>96.74</v>
      </c>
      <c s="30" r="D21">
        <v>91.62</v>
      </c>
      <c s="30" r="E21">
        <v>88.75</v>
      </c>
      <c s="30" r="F21">
        <v>86.48</v>
      </c>
      <c s="30" r="G21">
        <v>92.79</v>
      </c>
      <c s="30" r="H21">
        <v>99.64</v>
      </c>
      <c s="30" r="I21">
        <v>91.70</v>
      </c>
      <c s="30" r="J21">
        <v>96.18</v>
      </c>
      <c s="31" r="K21">
        <v>107.73</v>
      </c>
      <c s="31" r="L21">
        <v>103.90</v>
      </c>
    </row>
    <row>
      <c s="29" r="A22">
        <v>13</v>
      </c>
      <c t="s" r="B22">
        <v>175</v>
      </c>
      <c s="24" r="C22">
        <v>3.41</v>
      </c>
      <c s="24" r="D22">
        <v>3.04</v>
      </c>
      <c s="24" r="E22">
        <v>2.46</v>
      </c>
      <c s="24" r="F22">
        <v>3.04</v>
      </c>
      <c s="24" r="G22">
        <v>2.33</v>
      </c>
      <c s="24" r="H22">
        <v>2.76</v>
      </c>
      <c s="24" r="I22">
        <v>2.33</v>
      </c>
      <c s="24" r="J22">
        <v>1.84</v>
      </c>
      <c s="24" r="K22">
        <v>2.54</v>
      </c>
      <c s="24" r="L22">
        <v>2.31</v>
      </c>
    </row>
    <row>
      <c s="20" t="s" r="A23"/>
      <c s="20" t="s" r="B23">
        <v>176</v>
      </c>
      <c s="51" r="C23">
        <v>2529.49</v>
      </c>
      <c s="51" r="D23">
        <v>2628.89</v>
      </c>
      <c s="51" r="E23">
        <v>2542.21</v>
      </c>
      <c s="51" r="F23">
        <v>2533.45</v>
      </c>
      <c s="51" r="G23">
        <v>2808.50</v>
      </c>
      <c s="51" r="H23">
        <v>3090.83</v>
      </c>
      <c s="51" r="I23">
        <v>2687.03</v>
      </c>
      <c s="51" r="J23">
        <v>2720.23</v>
      </c>
      <c s="51" r="K23">
        <v>3151.97</v>
      </c>
      <c s="51" r="L23">
        <v>3043.69</v>
      </c>
    </row>
    <row>
      <c t="s" r="A24"/>
      <c t="s" r="B24"/>
      <c t="s" r="C24"/>
      <c t="s" r="D24"/>
      <c t="s" r="E24"/>
      <c t="s" r="F24"/>
      <c t="s" r="G24"/>
      <c t="s" r="H24"/>
      <c t="s" r="I24"/>
      <c t="s" r="J24"/>
      <c t="s" r="K24"/>
      <c t="s" r="L24"/>
    </row>
    <row>
      <c t="s" r="A25"/>
      <c s="20" t="s" r="B25">
        <v>177</v>
      </c>
      <c t="s" r="C25"/>
      <c t="s" r="D25"/>
      <c t="s" r="E25"/>
      <c t="s" r="F25"/>
      <c t="s" r="G25"/>
      <c t="s" r="H25"/>
      <c t="s" r="I25"/>
      <c t="s" r="J25"/>
      <c t="s" r="K25"/>
      <c t="s" r="L25"/>
    </row>
    <row>
      <c s="29" r="A26">
        <v>14</v>
      </c>
      <c t="s" r="B26">
        <v>178</v>
      </c>
      <c s="30" r="C26">
        <v>47.45</v>
      </c>
      <c s="30" r="D26">
        <v>55.22</v>
      </c>
      <c s="30" r="E26">
        <v>57.24</v>
      </c>
      <c s="30" r="F26">
        <v>67.18</v>
      </c>
      <c s="30" r="G26">
        <v>48.72</v>
      </c>
      <c s="30" r="H26">
        <v>52.08</v>
      </c>
      <c s="30" r="I26">
        <v>53.18</v>
      </c>
      <c s="30" r="J26">
        <v>47.40</v>
      </c>
      <c s="30" r="K26">
        <v>52.57</v>
      </c>
      <c s="30" r="L26">
        <v>46.48</v>
      </c>
    </row>
    <row>
      <c s="29" r="A27">
        <v>15</v>
      </c>
      <c t="s" r="B27">
        <v>179</v>
      </c>
      <c s="31" r="C27">
        <v>294.96</v>
      </c>
      <c s="31" r="D27">
        <v>345.19</v>
      </c>
      <c s="31" r="E27">
        <v>302.71</v>
      </c>
      <c s="31" r="F27">
        <v>293.78</v>
      </c>
      <c s="31" r="G27">
        <v>302.52</v>
      </c>
      <c s="31" r="H27">
        <v>313.48</v>
      </c>
      <c s="31" r="I27">
        <v>283.10</v>
      </c>
      <c s="31" r="J27">
        <v>296.66</v>
      </c>
      <c s="31" r="K27">
        <v>328.98</v>
      </c>
      <c s="31" r="L27">
        <v>314.79</v>
      </c>
    </row>
    <row>
      <c s="29" r="A28">
        <v>16</v>
      </c>
      <c t="inlineStr" r="B28">
        <is xml:space="preserve">
          <r>
            <rPr/>
            <t>Reserves</t>
          </r>
          <r>
            <rPr>
              <color rgb="FFFF0000"/>
              <sz val="14"/>
            </rPr>
            <t>*</t>
          </r>
          <r>
            <rPr/>
            <t/>
          </r>
        </is>
      </c>
      <c s="31" r="C28">
        <v>272.24</v>
      </c>
      <c s="31" r="D28">
        <v>331.83</v>
      </c>
      <c s="31" r="E28">
        <v>369.61</v>
      </c>
      <c s="31" r="F28">
        <v>382.05</v>
      </c>
      <c s="31" r="G28">
        <v>429.00</v>
      </c>
      <c s="31" r="H28">
        <v>463.33</v>
      </c>
      <c s="31" r="I28">
        <v>333.44</v>
      </c>
      <c s="31" r="J28">
        <v>228.61</v>
      </c>
      <c s="31" r="K28">
        <v>257.56</v>
      </c>
      <c s="31" r="L28">
        <v>248.14</v>
      </c>
    </row>
    <row>
      <c s="29" r="A29">
        <v>17</v>
      </c>
      <c t="s" r="B29">
        <v>180</v>
      </c>
      <c s="32" r="C29">
        <v>1914.83</v>
      </c>
      <c s="32" r="D29">
        <v>1896.64</v>
      </c>
      <c s="32" r="E29">
        <v>1812.65</v>
      </c>
      <c s="32" r="F29">
        <v>1790.44</v>
      </c>
      <c s="32" r="G29">
        <v>2028.26</v>
      </c>
      <c s="32" r="H29">
        <v>2261.94</v>
      </c>
      <c s="32" r="I29">
        <v>2017.31</v>
      </c>
      <c s="32" r="J29">
        <v>2147.56</v>
      </c>
      <c s="32" r="K29">
        <v>2512.87</v>
      </c>
      <c s="32" r="L29">
        <v>2434.28</v>
      </c>
    </row>
    <row>
      <c s="20" t="s" r="A30"/>
      <c s="20" t="s" r="B30">
        <v>181</v>
      </c>
      <c s="51" r="C30">
        <v>2529.49</v>
      </c>
      <c s="51" r="D30">
        <v>2628.89</v>
      </c>
      <c s="51" r="E30">
        <v>2542.21</v>
      </c>
      <c s="51" r="F30">
        <v>2533.45</v>
      </c>
      <c s="51" r="G30">
        <v>2808.50</v>
      </c>
      <c s="51" r="H30">
        <v>3090.83</v>
      </c>
      <c s="51" r="I30">
        <v>2687.03</v>
      </c>
      <c s="51" r="J30">
        <v>2720.23</v>
      </c>
      <c s="20" t="s" r="K30"/>
      <c s="20" t="s" r="L30"/>
    </row>
    <row>
      <c t="s" r="A31"/>
      <c t="s" r="B31"/>
      <c t="s" r="C31"/>
      <c t="s" r="D31"/>
      <c t="s" r="E31"/>
      <c t="s" r="F31"/>
      <c t="s" r="G31"/>
      <c t="s" r="H31"/>
      <c t="s" r="I31"/>
      <c t="s" r="J31"/>
      <c t="s" r="K31"/>
      <c t="s" r="L31"/>
    </row>
    <row>
      <c s="29" r="A32">
        <v>18</v>
      </c>
      <c t="s" r="B32">
        <v>182</v>
      </c>
      <c s="25" r="C32">
        <v>2090</v>
      </c>
      <c s="25" r="D32">
        <v>2153</v>
      </c>
      <c s="25" r="E32">
        <v>2314</v>
      </c>
      <c s="25" r="F32">
        <v>2466</v>
      </c>
      <c s="25" r="G32">
        <v>2467</v>
      </c>
      <c s="25" r="H32">
        <v>2363</v>
      </c>
      <c s="25" r="I32">
        <v>2581</v>
      </c>
      <c s="25" r="J32">
        <v>2571</v>
      </c>
      <c s="25" r="K32">
        <v>2274</v>
      </c>
      <c s="25" r="L32">
        <v>2353</v>
      </c>
    </row>
    <row>
      <c s="29" r="A33">
        <v>19</v>
      </c>
      <c t="s" r="B33">
        <v>183</v>
      </c>
      <c s="23" r="C33">
        <v>270</v>
      </c>
      <c s="23" r="D33">
        <v>325</v>
      </c>
      <c s="23" r="E33">
        <v>379</v>
      </c>
      <c s="23" r="F33">
        <v>390</v>
      </c>
      <c s="23" r="G33">
        <v>411</v>
      </c>
      <c s="23" r="H33">
        <v>370</v>
      </c>
      <c s="23" r="I33">
        <v>406</v>
      </c>
      <c s="23" r="J33">
        <v>387</v>
      </c>
      <c s="23" r="K33">
        <v>357</v>
      </c>
      <c s="23" r="L33">
        <v>388</v>
      </c>
    </row>
    <row>
      <c s="29" r="A34">
        <v>20</v>
      </c>
      <c t="s" r="B34">
        <v>184</v>
      </c>
      <c s="29" r="C34">
        <v>37</v>
      </c>
      <c s="29" r="D34">
        <v>36</v>
      </c>
      <c s="29" r="E34">
        <v>54</v>
      </c>
      <c s="29" r="F34">
        <v>52</v>
      </c>
      <c s="29" r="G34">
        <v>54</v>
      </c>
      <c s="29" r="H34">
        <v>54</v>
      </c>
      <c s="29" r="I34">
        <v>59</v>
      </c>
      <c s="29" r="J34">
        <v>63</v>
      </c>
      <c s="29" r="K34">
        <v>61</v>
      </c>
      <c s="29" r="L34">
        <v>56</v>
      </c>
    </row>
    <row>
      <c s="39" r="A35">
        <v>21</v>
      </c>
      <c s="20" t="s" r="B35">
        <v>71</v>
      </c>
      <c s="49" r="C35">
        <v>3015</v>
      </c>
      <c s="49" r="D35">
        <v>3366</v>
      </c>
      <c s="49" r="E35">
        <v>3710</v>
      </c>
      <c s="49" r="F35">
        <v>3905</v>
      </c>
      <c s="49" r="G35">
        <v>4011</v>
      </c>
      <c s="49" r="H35">
        <v>3782</v>
      </c>
      <c s="49" r="I35">
        <v>4126</v>
      </c>
      <c s="49" r="J35">
        <v>3990</v>
      </c>
      <c s="49" r="K35">
        <v>3598</v>
      </c>
      <c s="49" r="L35">
        <v>3765</v>
      </c>
    </row>
    <row>
      <c s="29" r="A36">
        <v>22</v>
      </c>
      <c t="s" r="B36">
        <v>185</v>
      </c>
      <c s="23" r="C36">
        <v>423</v>
      </c>
      <c s="23" r="D36">
        <v>454</v>
      </c>
      <c s="23" r="E36">
        <v>457</v>
      </c>
      <c s="23" r="F36">
        <v>472</v>
      </c>
      <c s="23" r="G36">
        <v>499</v>
      </c>
      <c s="23" r="H36">
        <v>490</v>
      </c>
      <c s="23" r="I36">
        <v>478</v>
      </c>
      <c s="23" r="J36">
        <v>474</v>
      </c>
      <c s="23" r="K36">
        <v>474</v>
      </c>
      <c s="23" r="L36">
        <v>474</v>
      </c>
    </row>
    <row>
      <c t="s" r="A37"/>
      <c t="s" r="B37"/>
      <c t="s" r="C37"/>
      <c t="s" r="D37"/>
      <c t="s" r="E37"/>
      <c t="s" r="F37"/>
      <c t="s" r="G37"/>
      <c t="s" r="H37"/>
      <c t="s" r="I37"/>
      <c t="s" r="J37"/>
      <c t="s" r="K37"/>
      <c t="s" r="L37"/>
    </row>
    <row>
      <c t="s" r="A38"/>
      <c t="inlineStr" r="B38">
        <is xml:space="preserve">
          <r>
            <rPr>
              <color rgb="FFFF0000"/>
              <sz val="14"/>
            </rPr>
            <t>*</t>
          </r>
          <r>
            <rPr/>
            <t>Reserves shown in line 16 is not cash but a value that recognises that all (owned and leased) assets, e.g. leased land, are included under Assets at current market value.</t>
          </r>
        </is>
      </c>
      <c t="s" r="C38"/>
      <c t="s" r="D38"/>
      <c t="s" r="E38"/>
      <c t="s" r="F38"/>
      <c t="s" r="G38"/>
      <c t="s" r="H38"/>
      <c t="s" r="I38"/>
      <c t="s" r="J38"/>
      <c t="s" r="K38"/>
      <c t="s" r="L38"/>
    </row>
    <row>
      <c t="s" r="A39"/>
      <c s="50" t="s" r="B39">
        <v>188</v>
      </c>
      <c t="s" r="C39"/>
      <c t="s" r="D39"/>
      <c t="s" r="E39"/>
      <c t="s" r="F39"/>
      <c t="s" r="G39"/>
      <c t="s" r="H39"/>
      <c t="s" r="I39"/>
      <c t="s" r="J39"/>
      <c t="s" r="K39"/>
      <c t="s" r="L39"/>
    </row>
    <row>
      <c t="s" r="A40"/>
      <c t="s" r="B40"/>
      <c t="s" r="C40"/>
      <c t="s" r="D40"/>
      <c t="s" r="E40"/>
      <c t="s" r="F40"/>
      <c t="s" r="G40"/>
      <c t="s" r="H40"/>
      <c t="s" r="I40"/>
      <c t="s" r="J40"/>
      <c t="s" r="K40"/>
      <c t="s" r="L40"/>
    </row>
    <row>
      <c t="s" r="A41"/>
      <c s="21" t="s" r="B41">
        <v>102</v>
      </c>
      <c s="34" r="C41">
        <f>_xlfn.HYPERLINK("mailto:econ@beeflambnz.com","econ@beeflambnz.com")</f>
      </c>
      <c t="s" r="D41"/>
      <c t="s" r="E41"/>
      <c s="19" t="s" r="F41">
        <v>54</v>
      </c>
      <c t="s" r="G41"/>
      <c t="s" r="H41"/>
      <c t="s" r="I41"/>
      <c t="s" r="J41"/>
      <c t="s" r="K41"/>
      <c s="21" t="s" r="L41">
        <v>103</v>
      </c>
    </row>
  </sheetData>
  <mergeCells count="1">
    <mergeCell ref="C41:E41"/>
  </mergeCells>
  <hyperlinks>
    <hyperlink ref="L2" location="Notes!A1" display="Notes tab"/>
    <hyperlink ref="F41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189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160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161</v>
      </c>
      <c s="52" r="C8">
        <v>14595.46</v>
      </c>
      <c s="52" r="D8">
        <v>15719.27</v>
      </c>
      <c s="52" r="E8">
        <v>16541.76</v>
      </c>
      <c s="52" r="F8">
        <v>16885.90</v>
      </c>
      <c s="52" r="G8">
        <v>18429.13</v>
      </c>
      <c s="52" r="H8">
        <v>19145.84</v>
      </c>
      <c s="52" r="I8">
        <v>18675.87</v>
      </c>
      <c s="52" r="J8">
        <v>18270.34</v>
      </c>
      <c s="52" r="K8">
        <v>18270.34</v>
      </c>
      <c s="52" r="L8">
        <v>18270.34</v>
      </c>
    </row>
    <row>
      <c s="22" r="A9">
        <v>2</v>
      </c>
      <c t="s" r="B9">
        <v>162</v>
      </c>
      <c s="31" r="C9">
        <v>188.81</v>
      </c>
      <c s="31" r="D9">
        <v>257.13</v>
      </c>
      <c s="31" r="E9">
        <v>259.91</v>
      </c>
      <c s="31" r="F9">
        <v>260.10</v>
      </c>
      <c s="31" r="G9">
        <v>261.85</v>
      </c>
      <c s="31" r="H9">
        <v>264.50</v>
      </c>
      <c s="31" r="I9">
        <v>210.43</v>
      </c>
      <c s="31" r="J9">
        <v>212.01</v>
      </c>
      <c s="31" r="K9">
        <v>212.01</v>
      </c>
      <c s="31" r="L9">
        <v>212.01</v>
      </c>
    </row>
    <row>
      <c s="22" r="A10">
        <v>3</v>
      </c>
      <c t="s" r="B10">
        <v>163</v>
      </c>
      <c s="31" r="C10">
        <v>210.42</v>
      </c>
      <c s="31" r="D10">
        <v>225.37</v>
      </c>
      <c s="31" r="E10">
        <v>238.80</v>
      </c>
      <c s="31" r="F10">
        <v>247.61</v>
      </c>
      <c s="31" r="G10">
        <v>269.60</v>
      </c>
      <c s="31" r="H10">
        <v>289.78</v>
      </c>
      <c s="31" r="I10">
        <v>277.80</v>
      </c>
      <c s="31" r="J10">
        <v>273.03</v>
      </c>
      <c s="31" r="K10">
        <v>273.03</v>
      </c>
      <c s="31" r="L10">
        <v>273.03</v>
      </c>
    </row>
    <row>
      <c s="22" r="A11">
        <v>4</v>
      </c>
      <c t="s" r="B11">
        <v>164</v>
      </c>
      <c s="31" r="C11">
        <v>642.56</v>
      </c>
      <c s="31" r="D11">
        <v>745.47</v>
      </c>
      <c s="31" r="E11">
        <v>868.30</v>
      </c>
      <c s="31" r="F11">
        <v>737.34</v>
      </c>
      <c s="31" r="G11">
        <v>796.07</v>
      </c>
      <c s="31" r="H11">
        <v>979.08</v>
      </c>
      <c s="31" r="I11">
        <v>931.22</v>
      </c>
      <c s="31" r="J11">
        <v>645.07</v>
      </c>
      <c s="31" r="K11">
        <v>873.08</v>
      </c>
      <c s="31" r="L11">
        <v>837.04</v>
      </c>
    </row>
    <row>
      <c s="22" r="A12">
        <v>5</v>
      </c>
      <c t="s" r="B12">
        <v>165</v>
      </c>
      <c s="31" r="C12">
        <v>739.60</v>
      </c>
      <c s="31" r="D12">
        <v>761.03</v>
      </c>
      <c s="31" r="E12">
        <v>834.97</v>
      </c>
      <c s="31" r="F12">
        <v>744.39</v>
      </c>
      <c s="31" r="G12">
        <v>639.86</v>
      </c>
      <c s="31" r="H12">
        <v>864.87</v>
      </c>
      <c s="31" r="I12">
        <v>838.46</v>
      </c>
      <c s="31" r="J12">
        <v>752.35</v>
      </c>
      <c s="32" r="K12">
        <v>1131.62</v>
      </c>
      <c s="32" r="L12">
        <v>1166.55</v>
      </c>
    </row>
    <row>
      <c s="22" r="A13">
        <v>6</v>
      </c>
      <c t="s" r="B13">
        <v>166</v>
      </c>
      <c s="30" r="C13">
        <v>33.50</v>
      </c>
      <c s="30" r="D13">
        <v>38.03</v>
      </c>
      <c s="30" r="E13">
        <v>61.84</v>
      </c>
      <c s="30" r="F13">
        <v>41.31</v>
      </c>
      <c s="30" r="G13">
        <v>36.41</v>
      </c>
      <c s="30" r="H13">
        <v>40.03</v>
      </c>
      <c s="30" r="I13">
        <v>48.76</v>
      </c>
      <c s="30" r="J13">
        <v>61.39</v>
      </c>
      <c s="30" r="K13">
        <v>74.20</v>
      </c>
      <c s="30" r="L13">
        <v>78.16</v>
      </c>
    </row>
    <row>
      <c s="22" r="A14">
        <v>7</v>
      </c>
      <c t="s" r="B14">
        <v>167</v>
      </c>
      <c s="24" r="C14">
        <v>0.58</v>
      </c>
      <c s="24" r="D14">
        <v>0.11</v>
      </c>
      <c s="24" r="E14">
        <v>0.53</v>
      </c>
      <c s="24" r="F14">
        <v>0.03</v>
      </c>
      <c s="24" r="G14">
        <v>0.02</v>
      </c>
      <c t="s" r="H14"/>
      <c t="s" r="I14"/>
      <c t="s" r="J14"/>
      <c t="s" r="K14"/>
      <c t="s" r="L14"/>
    </row>
    <row>
      <c s="20" t="s" r="A15"/>
      <c s="20" t="s" r="B15">
        <v>168</v>
      </c>
      <c s="53" r="C15">
        <v>16410.92</v>
      </c>
      <c s="53" r="D15">
        <v>17746.41</v>
      </c>
      <c s="53" r="E15">
        <v>18806.11</v>
      </c>
      <c s="53" r="F15">
        <v>18916.69</v>
      </c>
      <c s="53" r="G15">
        <v>20432.94</v>
      </c>
      <c s="53" r="H15">
        <v>21584.10</v>
      </c>
      <c s="53" r="I15">
        <v>20982.55</v>
      </c>
      <c s="53" r="J15">
        <v>20214.19</v>
      </c>
      <c s="53" r="K15">
        <v>19997.32</v>
      </c>
      <c s="53" r="L15">
        <v>19993.51</v>
      </c>
    </row>
    <row>
      <c t="s" r="A16"/>
      <c t="s" r="B16"/>
      <c t="s" r="C16"/>
      <c t="s" r="D16"/>
      <c t="s" r="E16"/>
      <c t="s" r="F16"/>
      <c t="s" r="G16"/>
      <c t="s" r="H16"/>
      <c t="s" r="I16"/>
      <c t="s" r="J16"/>
      <c t="s" r="K16"/>
      <c t="s" r="L16"/>
    </row>
    <row>
      <c s="22" r="A17">
        <v>8</v>
      </c>
      <c t="s" r="B17">
        <v>169</v>
      </c>
      <c s="31" r="C17">
        <v>290.09</v>
      </c>
      <c s="31" r="D17">
        <v>329.26</v>
      </c>
      <c s="31" r="E17">
        <v>333.61</v>
      </c>
      <c s="31" r="F17">
        <v>376.28</v>
      </c>
      <c s="31" r="G17">
        <v>297.06</v>
      </c>
      <c s="31" r="H17">
        <v>701.04</v>
      </c>
      <c s="31" r="I17">
        <v>693.56</v>
      </c>
      <c s="31" r="J17">
        <v>324.71</v>
      </c>
      <c s="31" r="K17">
        <v>582.94</v>
      </c>
      <c s="31" r="L17">
        <v>535.69</v>
      </c>
    </row>
    <row>
      <c s="22" r="A18">
        <v>9</v>
      </c>
      <c t="s" r="B18">
        <v>170</v>
      </c>
      <c s="30" r="C18">
        <v>93.81</v>
      </c>
      <c s="30" r="D18">
        <v>86.14</v>
      </c>
      <c s="30" r="E18">
        <v>34.85</v>
      </c>
      <c s="30" r="F18">
        <v>46.37</v>
      </c>
      <c s="31" r="G18">
        <v>346.25</v>
      </c>
      <c s="30" r="H18">
        <v>99.08</v>
      </c>
      <c s="30" r="I18">
        <v>67.05</v>
      </c>
      <c s="31" r="J18">
        <v>423.25</v>
      </c>
      <c s="31" r="K18">
        <v>442.82</v>
      </c>
      <c s="31" r="L18">
        <v>556.29</v>
      </c>
    </row>
    <row>
      <c s="29" r="A19">
        <v>10</v>
      </c>
      <c t="s" r="B19">
        <v>171</v>
      </c>
      <c s="30" r="C19">
        <v>20.69</v>
      </c>
      <c s="24" r="D19">
        <v>9.82</v>
      </c>
      <c s="30" r="E19">
        <v>10.94</v>
      </c>
      <c s="30" r="F19">
        <v>20.29</v>
      </c>
      <c s="30" r="G19">
        <v>11.29</v>
      </c>
      <c s="30" r="H19">
        <v>12.27</v>
      </c>
      <c s="24" r="I19">
        <v>7.66</v>
      </c>
      <c s="24" r="J19">
        <v>9.86</v>
      </c>
      <c s="30" r="K19">
        <v>10.09</v>
      </c>
      <c s="24" r="L19">
        <v>9.22</v>
      </c>
    </row>
    <row>
      <c s="29" r="A20">
        <v>11</v>
      </c>
      <c t="s" r="B20">
        <v>172</v>
      </c>
      <c s="31" r="C20">
        <v>487.47</v>
      </c>
      <c s="31" r="D20">
        <v>599.77</v>
      </c>
      <c s="31" r="E20">
        <v>677.21</v>
      </c>
      <c s="31" r="F20">
        <v>837.61</v>
      </c>
      <c s="31" r="G20">
        <v>700.79</v>
      </c>
      <c s="31" r="H20">
        <v>660.80</v>
      </c>
      <c s="31" r="I20">
        <v>622.63</v>
      </c>
      <c s="32" r="J20">
        <v>1091.61</v>
      </c>
      <c s="32" r="K20">
        <v>1209.56</v>
      </c>
      <c s="32" r="L20">
        <v>1385.05</v>
      </c>
    </row>
    <row>
      <c s="29" r="A21">
        <v>12</v>
      </c>
      <c t="s" r="B21">
        <v>173</v>
      </c>
      <c s="30" r="C21">
        <v>12.51</v>
      </c>
      <c s="30" r="D21">
        <v>17.56</v>
      </c>
      <c s="30" r="E21">
        <v>34.86</v>
      </c>
      <c s="30" r="F21">
        <v>22.19</v>
      </c>
      <c s="30" r="G21">
        <v>21.99</v>
      </c>
      <c s="24" r="H21">
        <v>8.56</v>
      </c>
      <c s="24" r="I21">
        <v>8.91</v>
      </c>
      <c s="24" r="J21">
        <v>9.44</v>
      </c>
      <c s="24" r="K21">
        <v>9.09</v>
      </c>
      <c s="24" r="L21">
        <v>9.17</v>
      </c>
    </row>
    <row>
      <c s="29" r="A22">
        <v>13</v>
      </c>
      <c t="s" r="B22">
        <v>174</v>
      </c>
      <c s="31" r="C22">
        <v>689.52</v>
      </c>
      <c s="31" r="D22">
        <v>679.31</v>
      </c>
      <c s="31" r="E22">
        <v>720.48</v>
      </c>
      <c s="31" r="F22">
        <v>715.44</v>
      </c>
      <c s="31" r="G22">
        <v>745.87</v>
      </c>
      <c s="31" r="H22">
        <v>769.02</v>
      </c>
      <c s="31" r="I22">
        <v>791.50</v>
      </c>
      <c s="31" r="J22">
        <v>809.59</v>
      </c>
      <c s="31" r="K22">
        <v>817.72</v>
      </c>
      <c s="31" r="L22">
        <v>825.29</v>
      </c>
    </row>
    <row>
      <c s="29" r="A23">
        <v>14</v>
      </c>
      <c t="s" r="B23">
        <v>175</v>
      </c>
      <c s="30" r="C23">
        <v>24.32</v>
      </c>
      <c s="30" r="D23">
        <v>22.55</v>
      </c>
      <c s="30" r="E23">
        <v>20.01</v>
      </c>
      <c s="30" r="F23">
        <v>25.13</v>
      </c>
      <c s="30" r="G23">
        <v>18.73</v>
      </c>
      <c s="30" r="H23">
        <v>21.28</v>
      </c>
      <c s="30" r="I23">
        <v>20.07</v>
      </c>
      <c s="30" r="J23">
        <v>15.50</v>
      </c>
      <c s="30" r="K23">
        <v>19.24</v>
      </c>
      <c s="30" r="L23">
        <v>18.33</v>
      </c>
    </row>
    <row>
      <c s="20" t="s" r="A24"/>
      <c s="20" t="s" r="B24">
        <v>176</v>
      </c>
      <c s="53" r="C24">
        <v>18029.32</v>
      </c>
      <c s="53" r="D24">
        <v>19490.82</v>
      </c>
      <c s="53" r="E24">
        <v>20638.06</v>
      </c>
      <c s="53" r="F24">
        <v>20960.01</v>
      </c>
      <c s="53" r="G24">
        <v>22574.92</v>
      </c>
      <c s="53" r="H24">
        <v>23856.16</v>
      </c>
      <c s="53" r="I24">
        <v>23193.94</v>
      </c>
      <c s="53" r="J24">
        <v>22898.14</v>
      </c>
      <c s="53" r="K24">
        <v>23925.75</v>
      </c>
      <c s="53" r="L24">
        <v>24176.17</v>
      </c>
    </row>
    <row>
      <c t="s" r="A25"/>
      <c t="s" r="B25"/>
      <c t="s" r="C25"/>
      <c t="s" r="D25"/>
      <c t="s" r="E25"/>
      <c t="s" r="F25"/>
      <c t="s" r="G25"/>
      <c t="s" r="H25"/>
      <c t="s" r="I25"/>
      <c t="s" r="J25"/>
      <c t="s" r="K25"/>
      <c t="s" r="L25"/>
    </row>
    <row>
      <c t="s" r="A26"/>
      <c s="20" t="s" r="B26">
        <v>177</v>
      </c>
      <c t="s" r="C26"/>
      <c t="s" r="D26"/>
      <c t="s" r="E26"/>
      <c t="s" r="F26"/>
      <c t="s" r="G26"/>
      <c t="s" r="H26"/>
      <c t="s" r="I26"/>
      <c t="s" r="J26"/>
      <c t="s" r="K26"/>
      <c t="s" r="L26"/>
    </row>
    <row>
      <c s="29" r="A27">
        <v>15</v>
      </c>
      <c t="s" r="B27">
        <v>178</v>
      </c>
      <c s="31" r="C27">
        <v>338.23</v>
      </c>
      <c s="31" r="D27">
        <v>409.42</v>
      </c>
      <c s="31" r="E27">
        <v>464.64</v>
      </c>
      <c s="31" r="F27">
        <v>555.79</v>
      </c>
      <c s="31" r="G27">
        <v>391.58</v>
      </c>
      <c s="31" r="H27">
        <v>401.98</v>
      </c>
      <c s="31" r="I27">
        <v>459.07</v>
      </c>
      <c s="31" r="J27">
        <v>399.03</v>
      </c>
      <c s="31" r="K27">
        <v>399.03</v>
      </c>
      <c s="31" r="L27">
        <v>369.20</v>
      </c>
    </row>
    <row>
      <c s="29" r="A28">
        <v>16</v>
      </c>
      <c t="s" r="B28">
        <v>179</v>
      </c>
      <c s="32" r="C28">
        <v>2102.39</v>
      </c>
      <c s="32" r="D28">
        <v>2559.29</v>
      </c>
      <c s="32" r="E28">
        <v>2457.47</v>
      </c>
      <c s="32" r="F28">
        <v>2430.54</v>
      </c>
      <c s="32" r="G28">
        <v>2431.69</v>
      </c>
      <c s="32" r="H28">
        <v>2419.59</v>
      </c>
      <c s="32" r="I28">
        <v>2443.64</v>
      </c>
      <c s="32" r="J28">
        <v>2497.19</v>
      </c>
      <c s="32" r="K28">
        <v>2497.19</v>
      </c>
      <c s="32" r="L28">
        <v>2500.42</v>
      </c>
    </row>
    <row>
      <c s="29" r="A29">
        <v>17</v>
      </c>
      <c t="inlineStr" r="B29">
        <is xml:space="preserve">
          <r>
            <rPr/>
            <t>Reserves</t>
          </r>
          <r>
            <rPr>
              <color rgb="FFFF0000"/>
              <sz val="14"/>
            </rPr>
            <t>*</t>
          </r>
          <r>
            <rPr/>
            <t/>
          </r>
        </is>
      </c>
      <c s="32" r="C29">
        <v>1940.45</v>
      </c>
      <c s="32" r="D29">
        <v>2460.23</v>
      </c>
      <c s="32" r="E29">
        <v>3000.56</v>
      </c>
      <c s="32" r="F29">
        <v>3160.84</v>
      </c>
      <c s="32" r="G29">
        <v>3448.34</v>
      </c>
      <c s="32" r="H29">
        <v>3576.13</v>
      </c>
      <c s="32" r="I29">
        <v>2878.17</v>
      </c>
      <c s="32" r="J29">
        <v>1924.35</v>
      </c>
      <c s="32" r="K29">
        <v>1955.05</v>
      </c>
      <c s="32" r="L29">
        <v>1970.98</v>
      </c>
    </row>
    <row>
      <c s="29" r="A30">
        <v>18</v>
      </c>
      <c t="s" r="B30">
        <v>180</v>
      </c>
      <c s="52" r="C30">
        <v>13648.25</v>
      </c>
      <c s="52" r="D30">
        <v>14061.88</v>
      </c>
      <c s="52" r="E30">
        <v>14715.38</v>
      </c>
      <c s="52" r="F30">
        <v>14812.85</v>
      </c>
      <c s="52" r="G30">
        <v>16303.31</v>
      </c>
      <c s="52" r="H30">
        <v>17458.46</v>
      </c>
      <c s="52" r="I30">
        <v>17413.05</v>
      </c>
      <c s="52" r="J30">
        <v>18077.56</v>
      </c>
      <c s="52" r="K30">
        <v>19074.47</v>
      </c>
      <c s="52" r="L30">
        <v>19335.57</v>
      </c>
    </row>
    <row>
      <c s="20" t="s" r="A31"/>
      <c s="20" t="s" r="B31">
        <v>181</v>
      </c>
      <c s="53" r="C31">
        <v>18029.32</v>
      </c>
      <c s="53" r="D31">
        <v>19490.82</v>
      </c>
      <c s="53" r="E31">
        <v>20638.06</v>
      </c>
      <c s="53" r="F31">
        <v>20960.01</v>
      </c>
      <c s="53" r="G31">
        <v>22574.92</v>
      </c>
      <c s="53" r="H31">
        <v>23856.16</v>
      </c>
      <c s="53" r="I31">
        <v>23193.94</v>
      </c>
      <c s="53" r="J31">
        <v>22898.14</v>
      </c>
      <c s="20" t="s" r="K31"/>
      <c s="20" t="s" r="L31"/>
    </row>
    <row>
      <c t="s" r="A32"/>
      <c t="s" r="B32"/>
      <c t="s" r="C32"/>
      <c t="s" r="D32"/>
      <c t="s" r="E32"/>
      <c t="s" r="F32"/>
      <c t="s" r="G32"/>
      <c t="s" r="H32"/>
      <c t="s" r="I32"/>
      <c t="s" r="J32"/>
      <c t="s" r="K32"/>
      <c t="s" r="L32"/>
    </row>
    <row>
      <c s="29" r="A33">
        <v>19</v>
      </c>
      <c t="s" r="B33">
        <v>182</v>
      </c>
      <c s="25" r="C33">
        <v>2090</v>
      </c>
      <c s="25" r="D33">
        <v>2153</v>
      </c>
      <c s="25" r="E33">
        <v>2314</v>
      </c>
      <c s="25" r="F33">
        <v>2466</v>
      </c>
      <c s="25" r="G33">
        <v>2467</v>
      </c>
      <c s="25" r="H33">
        <v>2363</v>
      </c>
      <c s="25" r="I33">
        <v>2581</v>
      </c>
      <c s="25" r="J33">
        <v>2571</v>
      </c>
      <c s="25" r="K33">
        <v>2274</v>
      </c>
      <c s="25" r="L33">
        <v>2353</v>
      </c>
    </row>
    <row>
      <c s="29" r="A34">
        <v>20</v>
      </c>
      <c t="s" r="B34">
        <v>183</v>
      </c>
      <c s="23" r="C34">
        <v>270</v>
      </c>
      <c s="23" r="D34">
        <v>325</v>
      </c>
      <c s="23" r="E34">
        <v>379</v>
      </c>
      <c s="23" r="F34">
        <v>390</v>
      </c>
      <c s="23" r="G34">
        <v>411</v>
      </c>
      <c s="23" r="H34">
        <v>370</v>
      </c>
      <c s="23" r="I34">
        <v>406</v>
      </c>
      <c s="23" r="J34">
        <v>387</v>
      </c>
      <c s="23" r="K34">
        <v>357</v>
      </c>
      <c s="23" r="L34">
        <v>388</v>
      </c>
    </row>
    <row>
      <c s="29" r="A35">
        <v>21</v>
      </c>
      <c t="s" r="B35">
        <v>184</v>
      </c>
      <c s="29" r="C35">
        <v>37</v>
      </c>
      <c s="29" r="D35">
        <v>36</v>
      </c>
      <c s="29" r="E35">
        <v>54</v>
      </c>
      <c s="29" r="F35">
        <v>52</v>
      </c>
      <c s="29" r="G35">
        <v>54</v>
      </c>
      <c s="29" r="H35">
        <v>54</v>
      </c>
      <c s="29" r="I35">
        <v>59</v>
      </c>
      <c s="29" r="J35">
        <v>63</v>
      </c>
      <c s="29" r="K35">
        <v>61</v>
      </c>
      <c s="29" r="L35">
        <v>56</v>
      </c>
    </row>
    <row>
      <c s="39" r="A36">
        <v>22</v>
      </c>
      <c s="20" t="s" r="B36">
        <v>71</v>
      </c>
      <c s="49" r="C36">
        <v>3015</v>
      </c>
      <c s="49" r="D36">
        <v>3366</v>
      </c>
      <c s="49" r="E36">
        <v>3710</v>
      </c>
      <c s="49" r="F36">
        <v>3905</v>
      </c>
      <c s="49" r="G36">
        <v>4011</v>
      </c>
      <c s="49" r="H36">
        <v>3782</v>
      </c>
      <c s="49" r="I36">
        <v>4126</v>
      </c>
      <c s="49" r="J36">
        <v>3990</v>
      </c>
      <c s="49" r="K36">
        <v>3598</v>
      </c>
      <c s="49" r="L36">
        <v>3765</v>
      </c>
    </row>
    <row>
      <c s="29" r="A37">
        <v>23</v>
      </c>
      <c t="s" r="B37">
        <v>185</v>
      </c>
      <c s="23" r="C37">
        <v>423</v>
      </c>
      <c s="23" r="D37">
        <v>454</v>
      </c>
      <c s="23" r="E37">
        <v>457</v>
      </c>
      <c s="23" r="F37">
        <v>472</v>
      </c>
      <c s="23" r="G37">
        <v>499</v>
      </c>
      <c s="23" r="H37">
        <v>490</v>
      </c>
      <c s="23" r="I37">
        <v>478</v>
      </c>
      <c s="23" r="J37">
        <v>474</v>
      </c>
      <c s="23" r="K37">
        <v>474</v>
      </c>
      <c s="23" r="L37">
        <v>474</v>
      </c>
    </row>
    <row>
      <c t="s" r="A38"/>
      <c t="s" r="B38"/>
      <c t="s" r="C38"/>
      <c t="s" r="D38"/>
      <c t="s" r="E38"/>
      <c t="s" r="F38"/>
      <c t="s" r="G38"/>
      <c t="s" r="H38"/>
      <c t="s" r="I38"/>
      <c t="s" r="J38"/>
      <c t="s" r="K38"/>
      <c t="s" r="L38"/>
    </row>
    <row>
      <c t="s" r="A39"/>
      <c t="inlineStr" r="B39">
        <is xml:space="preserve">
          <r>
            <rPr>
              <color rgb="FFFF0000"/>
              <sz val="14"/>
            </rPr>
            <t>*</t>
          </r>
          <r>
            <rPr/>
            <t>Reserves shown in line 17 is not cash but a value that recognises that all (owned and leased) assets, e.g. leased land, are included under Assets at current market value.</t>
          </r>
        </is>
      </c>
      <c t="s" r="C39"/>
      <c t="s" r="D39"/>
      <c t="s" r="E39"/>
      <c t="s" r="F39"/>
      <c t="s" r="G39"/>
      <c t="s" r="H39"/>
      <c t="s" r="I39"/>
      <c t="s" r="J39"/>
      <c t="s" r="K39"/>
      <c t="s" r="L39"/>
    </row>
    <row>
      <c t="s" r="A40"/>
      <c s="50" t="s" r="B40">
        <v>186</v>
      </c>
      <c t="s" r="C40"/>
      <c t="s" r="D40"/>
      <c t="s" r="E40"/>
      <c t="s" r="F40"/>
      <c t="s" r="G40"/>
      <c t="s" r="H40"/>
      <c t="s" r="I40"/>
      <c t="s" r="J40"/>
      <c t="s" r="K40"/>
      <c t="s" r="L40"/>
    </row>
    <row>
      <c t="s" r="A41"/>
      <c t="s" r="B41"/>
      <c t="s" r="C41"/>
      <c t="s" r="D41"/>
      <c t="s" r="E41"/>
      <c t="s" r="F41"/>
      <c t="s" r="G41"/>
      <c t="s" r="H41"/>
      <c t="s" r="I41"/>
      <c t="s" r="J41"/>
      <c t="s" r="K41"/>
      <c t="s" r="L41"/>
    </row>
    <row>
      <c t="s" r="A42"/>
      <c s="21" t="s" r="B42">
        <v>102</v>
      </c>
      <c s="34" r="C42">
        <f>_xlfn.HYPERLINK("mailto:econ@beeflambnz.com","econ@beeflambnz.com")</f>
      </c>
      <c t="s" r="D42"/>
      <c t="s" r="E42"/>
      <c s="19" t="s" r="F42">
        <v>54</v>
      </c>
      <c t="s" r="G42"/>
      <c t="s" r="H42"/>
      <c t="s" r="I42"/>
      <c t="s" r="J42"/>
      <c t="s" r="K42"/>
      <c s="21" t="s" r="L42">
        <v>103</v>
      </c>
    </row>
  </sheetData>
  <mergeCells count="1">
    <mergeCell ref="C42:E42"/>
  </mergeCells>
  <hyperlinks>
    <hyperlink ref="L2" location="Notes!A1" display="Notes tab"/>
    <hyperlink ref="F42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190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191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192</v>
      </c>
      <c s="35" r="C8">
        <v>82622</v>
      </c>
      <c s="36" r="D8">
        <v>142067</v>
      </c>
      <c s="36" r="E8">
        <v>128437</v>
      </c>
      <c s="36" r="F8">
        <v>144063</v>
      </c>
      <c s="35" r="G8">
        <v>78354</v>
      </c>
      <c s="36" r="H8">
        <v>184839</v>
      </c>
      <c s="36" r="I8">
        <v>116178</v>
      </c>
      <c s="35" r="J8">
        <v>19148</v>
      </c>
      <c s="36" r="K8">
        <v>154112</v>
      </c>
      <c s="36" r="L8">
        <v>161450</v>
      </c>
    </row>
    <row>
      <c s="22" r="A9">
        <v>2</v>
      </c>
      <c t="s" r="B9">
        <v>193</v>
      </c>
      <c s="35" r="C9">
        <v>42314</v>
      </c>
      <c s="35" r="D9">
        <v>48035</v>
      </c>
      <c s="35" r="E9">
        <v>51789</v>
      </c>
      <c s="35" r="F9">
        <v>56647</v>
      </c>
      <c s="35" r="G9">
        <v>59494</v>
      </c>
      <c s="35" r="H9">
        <v>58371</v>
      </c>
      <c s="35" r="I9">
        <v>52019</v>
      </c>
      <c s="35" r="J9">
        <v>48860</v>
      </c>
      <c s="35" r="K9">
        <v>47500</v>
      </c>
      <c s="35" r="L9">
        <v>48000</v>
      </c>
    </row>
    <row>
      <c s="22" r="A10">
        <v>3</v>
      </c>
      <c t="s" r="B10">
        <v>194</v>
      </c>
      <c s="36" r="C10">
        <v>-40377</v>
      </c>
      <c s="36" r="D10">
        <v>-40301</v>
      </c>
      <c s="36" r="E10">
        <v>-11619</v>
      </c>
      <c s="25" r="F10">
        <v>9384</v>
      </c>
      <c s="35" r="G10">
        <v>18677</v>
      </c>
      <c s="36" r="H10">
        <v>-46417</v>
      </c>
      <c s="35" r="I10">
        <v>13800</v>
      </c>
      <c s="35" r="J10">
        <v>58185</v>
      </c>
      <c s="36" r="K10">
        <v>-51766</v>
      </c>
      <c s="54" r="L10">
        <v>-748</v>
      </c>
    </row>
    <row>
      <c s="20" t="s" r="A11"/>
      <c s="20" t="s" r="B11">
        <v>195</v>
      </c>
      <c s="40" r="C11">
        <v>84559</v>
      </c>
      <c s="38" r="D11">
        <v>149801</v>
      </c>
      <c s="38" r="E11">
        <v>168607</v>
      </c>
      <c s="38" r="F11">
        <v>210094</v>
      </c>
      <c s="38" r="G11">
        <v>156525</v>
      </c>
      <c s="38" r="H11">
        <v>196793</v>
      </c>
      <c s="38" r="I11">
        <v>181997</v>
      </c>
      <c s="38" r="J11">
        <v>126193</v>
      </c>
      <c s="38" r="K11">
        <v>149846</v>
      </c>
      <c s="38" r="L11">
        <v>208702</v>
      </c>
    </row>
    <row>
      <c s="22" r="A12">
        <v>4</v>
      </c>
      <c t="s" r="B12">
        <v>196</v>
      </c>
      <c s="25" r="C12">
        <v>9482</v>
      </c>
      <c s="25" r="D12">
        <v>4236</v>
      </c>
      <c s="25" r="E12">
        <v>5193</v>
      </c>
      <c s="25" r="F12">
        <v>8989</v>
      </c>
      <c s="25" r="G12">
        <v>8115</v>
      </c>
      <c s="25" r="H12">
        <v>9650</v>
      </c>
      <c s="35" r="I12">
        <v>21569</v>
      </c>
      <c s="35" r="J12">
        <v>20872</v>
      </c>
      <c s="35" r="K12">
        <v>17364</v>
      </c>
      <c s="35" r="L12">
        <v>19935</v>
      </c>
    </row>
    <row>
      <c s="22" r="A13">
        <v>5</v>
      </c>
      <c t="s" r="B13">
        <v>197</v>
      </c>
      <c s="25" r="C13">
        <v>6136</v>
      </c>
      <c s="35" r="D13">
        <v>20482</v>
      </c>
      <c s="35" r="E13">
        <v>21669</v>
      </c>
      <c s="35" r="F13">
        <v>23140</v>
      </c>
      <c s="35" r="G13">
        <v>19740</v>
      </c>
      <c s="35" r="H13">
        <v>26506</v>
      </c>
      <c s="35" r="I13">
        <v>10600</v>
      </c>
      <c s="35" r="J13">
        <v>27031</v>
      </c>
      <c s="35" r="K13">
        <v>21379</v>
      </c>
      <c s="35" r="L13">
        <v>19670</v>
      </c>
    </row>
    <row>
      <c s="22" r="A14">
        <v>6</v>
      </c>
      <c t="s" r="B14">
        <v>198</v>
      </c>
      <c s="36" r="C14">
        <v>210665</v>
      </c>
      <c s="36" r="D14">
        <v>237669</v>
      </c>
      <c s="35" r="E14">
        <v>32865</v>
      </c>
      <c s="35" r="F14">
        <v>89074</v>
      </c>
      <c s="35" r="G14">
        <v>88504</v>
      </c>
      <c s="35" r="H14">
        <v>60254</v>
      </c>
      <c s="35" r="I14">
        <v>66473</v>
      </c>
      <c s="36" r="J14">
        <v>163305</v>
      </c>
      <c s="35" r="K14">
        <v>96677</v>
      </c>
      <c s="36" r="L14">
        <v>108818</v>
      </c>
    </row>
    <row>
      <c s="22" r="A15">
        <v>7</v>
      </c>
      <c t="s" r="B15">
        <v>199</v>
      </c>
      <c s="23" r="C15">
        <v>621</v>
      </c>
      <c s="23" r="D15">
        <v>165</v>
      </c>
      <c t="s" r="E15"/>
      <c t="s" r="F15"/>
      <c t="s" r="G15"/>
      <c t="s" r="H15"/>
      <c s="25" r="I15">
        <v>3808</v>
      </c>
      <c s="35" r="J15">
        <v>17224</v>
      </c>
      <c s="35" r="K15">
        <v>10516</v>
      </c>
      <c s="35" r="L15">
        <v>13870</v>
      </c>
    </row>
    <row>
      <c s="22" r="A16">
        <v>8</v>
      </c>
      <c t="s" r="B16">
        <v>200</v>
      </c>
      <c s="35" r="C16">
        <v>37079</v>
      </c>
      <c s="35" r="D16">
        <v>41324</v>
      </c>
      <c s="35" r="E16">
        <v>36444</v>
      </c>
      <c s="35" r="F16">
        <v>57750</v>
      </c>
      <c s="35" r="G16">
        <v>71432</v>
      </c>
      <c s="35" r="H16">
        <v>82947</v>
      </c>
      <c s="35" r="I16">
        <v>50333</v>
      </c>
      <c s="35" r="J16">
        <v>88139</v>
      </c>
      <c s="35" r="K16">
        <v>69607</v>
      </c>
      <c s="35" r="L16">
        <v>78959</v>
      </c>
    </row>
    <row>
      <c s="20" t="s" r="A17"/>
      <c s="20" t="s" r="B17">
        <v>201</v>
      </c>
      <c s="38" r="C17">
        <v>348542</v>
      </c>
      <c s="38" r="D17">
        <v>453677</v>
      </c>
      <c s="38" r="E17">
        <v>264778</v>
      </c>
      <c s="38" r="F17">
        <v>389047</v>
      </c>
      <c s="38" r="G17">
        <v>344316</v>
      </c>
      <c s="38" r="H17">
        <v>376150</v>
      </c>
      <c s="38" r="I17">
        <v>334780</v>
      </c>
      <c s="38" r="J17">
        <v>442764</v>
      </c>
      <c s="38" r="K17">
        <v>365389</v>
      </c>
      <c s="38" r="L17">
        <v>449954</v>
      </c>
    </row>
    <row>
      <c t="s" r="A18"/>
      <c t="s" r="B18"/>
      <c t="s" r="C18"/>
      <c t="s" r="D18"/>
      <c t="s" r="E18"/>
      <c t="s" r="F18"/>
      <c t="s" r="G18"/>
      <c t="s" r="H18"/>
      <c t="s" r="I18"/>
      <c t="s" r="J18"/>
      <c t="s" r="K18"/>
      <c t="s" r="L18"/>
    </row>
    <row>
      <c t="s" r="A19"/>
      <c s="20" t="s" r="B19">
        <v>202</v>
      </c>
      <c t="s" r="C19"/>
      <c t="s" r="D19"/>
      <c t="s" r="E19"/>
      <c t="s" r="F19"/>
      <c t="s" r="G19"/>
      <c t="s" r="H19"/>
      <c t="s" r="I19"/>
      <c t="s" r="J19"/>
      <c t="s" r="K19"/>
      <c t="s" r="L19"/>
    </row>
    <row>
      <c s="22" r="A20">
        <v>9</v>
      </c>
      <c t="s" r="B20">
        <v>203</v>
      </c>
      <c s="36" r="C20">
        <v>-10984</v>
      </c>
      <c s="35" r="D20">
        <v>17909</v>
      </c>
      <c s="25" r="E20">
        <v>4828</v>
      </c>
      <c s="25" r="F20">
        <v>6706</v>
      </c>
      <c s="35" r="G20">
        <v>15040</v>
      </c>
      <c s="35" r="H20">
        <v>18637</v>
      </c>
      <c s="35" r="I20">
        <v>41564</v>
      </c>
      <c s="25" r="J20">
        <v>5542</v>
      </c>
      <c s="35" r="K20">
        <v>12963</v>
      </c>
      <c s="35" r="L20">
        <v>11816</v>
      </c>
    </row>
    <row>
      <c s="29" r="A21">
        <v>10</v>
      </c>
      <c t="s" r="B21">
        <v>204</v>
      </c>
      <c s="35" r="C21">
        <v>31461</v>
      </c>
      <c s="35" r="D21">
        <v>55678</v>
      </c>
      <c s="35" r="E21">
        <v>40588</v>
      </c>
      <c s="35" r="F21">
        <v>50101</v>
      </c>
      <c s="35" r="G21">
        <v>60064</v>
      </c>
      <c s="35" r="H21">
        <v>54834</v>
      </c>
      <c s="35" r="I21">
        <v>29917</v>
      </c>
      <c s="35" r="J21">
        <v>33185</v>
      </c>
      <c s="35" r="K21">
        <v>18646</v>
      </c>
      <c s="35" r="L21">
        <v>15827</v>
      </c>
    </row>
    <row>
      <c s="29" r="A22">
        <v>11</v>
      </c>
      <c t="s" r="B22">
        <v>205</v>
      </c>
      <c s="54" r="C22">
        <v>-643</v>
      </c>
      <c s="25" r="D22">
        <v>1395</v>
      </c>
      <c s="23" r="E22">
        <v>836</v>
      </c>
      <c s="25" r="F22">
        <v>4727</v>
      </c>
      <c s="35" r="G22">
        <v>-4396</v>
      </c>
      <c s="35" r="H22">
        <v>-1449</v>
      </c>
      <c s="35" r="I22">
        <v>-3603</v>
      </c>
      <c s="23" r="J22">
        <v>781</v>
      </c>
      <c s="23" r="K22">
        <v>111</v>
      </c>
      <c s="54" r="L22">
        <v>-411</v>
      </c>
    </row>
    <row>
      <c s="29" r="A23">
        <v>12</v>
      </c>
      <c t="s" r="B23">
        <v>206</v>
      </c>
      <c s="35" r="C23">
        <v>12337</v>
      </c>
      <c s="25" r="D23">
        <v>2012</v>
      </c>
      <c s="54" r="E23">
        <v>-162</v>
      </c>
      <c s="54" r="F23">
        <v>-390</v>
      </c>
      <c s="35" r="G23">
        <v>-7972</v>
      </c>
      <c s="55" r="H23">
        <v>-142747</v>
      </c>
      <c s="54" r="I23">
        <v>-834</v>
      </c>
      <c s="36" r="J23">
        <v>169124</v>
      </c>
      <c s="25" r="K23">
        <v>9280</v>
      </c>
      <c s="35" r="L23">
        <v>53784</v>
      </c>
    </row>
    <row>
      <c s="29" r="A24">
        <v>13</v>
      </c>
      <c t="s" r="B24">
        <v>207</v>
      </c>
      <c s="35" r="C24">
        <v>-5073</v>
      </c>
      <c s="35" r="D24">
        <v>29289</v>
      </c>
      <c s="35" r="E24">
        <v>11099</v>
      </c>
      <c s="25" r="F24">
        <v>4792</v>
      </c>
      <c s="35" r="G24">
        <v>16751</v>
      </c>
      <c s="35" r="H24">
        <v>-3045</v>
      </c>
      <c s="25" r="I24">
        <v>1142</v>
      </c>
      <c s="25" r="J24">
        <v>1489</v>
      </c>
      <c s="35" r="K24">
        <v>55909</v>
      </c>
      <c s="35" r="L24">
        <v>83180</v>
      </c>
    </row>
    <row>
      <c s="29" r="A25">
        <v>14</v>
      </c>
      <c t="s" r="B25">
        <v>208</v>
      </c>
      <c s="36" r="C25">
        <v>172805</v>
      </c>
      <c s="36" r="D25">
        <v>139257</v>
      </c>
      <c s="35" r="E25">
        <v>40917</v>
      </c>
      <c s="35" r="F25">
        <v>76427</v>
      </c>
      <c s="35" r="G25">
        <v>70468</v>
      </c>
      <c s="35" r="H25">
        <v>73656</v>
      </c>
      <c s="35" r="I25">
        <v>59702</v>
      </c>
      <c s="35" r="J25">
        <v>99778</v>
      </c>
      <c s="35" r="K25">
        <v>96677</v>
      </c>
      <c s="36" r="L25">
        <v>107286</v>
      </c>
    </row>
    <row>
      <c s="29" r="A26">
        <v>15</v>
      </c>
      <c t="s" r="B26">
        <v>209</v>
      </c>
      <c s="35" r="C26">
        <v>80443</v>
      </c>
      <c s="35" r="D26">
        <v>92586</v>
      </c>
      <c s="36" r="E26">
        <v>101141</v>
      </c>
      <c s="36" r="F26">
        <v>102705</v>
      </c>
      <c s="36" r="G26">
        <v>119129</v>
      </c>
      <c s="36" r="H26">
        <v>114186</v>
      </c>
      <c s="36" r="I26">
        <v>109148</v>
      </c>
      <c s="36" r="J26">
        <v>120101</v>
      </c>
      <c s="36" r="K26">
        <v>114478</v>
      </c>
      <c s="36" r="L26">
        <v>114576</v>
      </c>
    </row>
    <row>
      <c s="29" r="A27">
        <v>16</v>
      </c>
      <c t="s" r="B27">
        <v>210</v>
      </c>
      <c s="35" r="C27">
        <v>17657</v>
      </c>
      <c s="35" r="D27">
        <v>20727</v>
      </c>
      <c s="35" r="E27">
        <v>38735</v>
      </c>
      <c s="35" r="F27">
        <v>49351</v>
      </c>
      <c s="35" r="G27">
        <v>43331</v>
      </c>
      <c s="35" r="H27">
        <v>30185</v>
      </c>
      <c s="35" r="I27">
        <v>56791</v>
      </c>
      <c s="35" r="J27">
        <v>42069</v>
      </c>
      <c s="25" r="K27">
        <v>5744</v>
      </c>
      <c s="35" r="L27">
        <v>46234</v>
      </c>
    </row>
    <row>
      <c s="29" r="A28">
        <v>17</v>
      </c>
      <c t="s" r="B28">
        <v>211</v>
      </c>
      <c s="35" r="C28">
        <v>69900</v>
      </c>
      <c s="36" r="D28">
        <v>100527</v>
      </c>
      <c s="35" r="E28">
        <v>37672</v>
      </c>
      <c s="35" r="F28">
        <v>64674</v>
      </c>
      <c s="35" r="G28">
        <v>53421</v>
      </c>
      <c s="35" r="H28">
        <v>31419</v>
      </c>
      <c s="35" r="I28">
        <v>52023</v>
      </c>
      <c s="36" r="J28">
        <v>103841</v>
      </c>
      <c s="35" r="K28">
        <v>51681</v>
      </c>
      <c s="35" r="L28">
        <v>61180</v>
      </c>
    </row>
    <row>
      <c s="20" t="s" r="A29"/>
      <c s="20" t="s" r="B29">
        <v>212</v>
      </c>
      <c s="38" r="C29">
        <v>367903</v>
      </c>
      <c s="38" r="D29">
        <v>459380</v>
      </c>
      <c s="38" r="E29">
        <v>275654</v>
      </c>
      <c s="38" r="F29">
        <v>359093</v>
      </c>
      <c s="38" r="G29">
        <v>365836</v>
      </c>
      <c s="38" r="H29">
        <v>175676</v>
      </c>
      <c s="38" r="I29">
        <v>345850</v>
      </c>
      <c s="38" r="J29">
        <v>575910</v>
      </c>
      <c s="38" r="K29">
        <v>405854</v>
      </c>
      <c s="38" r="L29">
        <v>534558</v>
      </c>
    </row>
    <row>
      <c t="s" r="A30"/>
      <c t="s" r="B30"/>
      <c t="s" r="C30"/>
      <c t="s" r="D30"/>
      <c t="s" r="E30"/>
      <c t="s" r="F30"/>
      <c t="s" r="G30"/>
      <c t="s" r="H30"/>
      <c t="s" r="I30"/>
      <c t="s" r="J30"/>
      <c t="s" r="K30"/>
      <c t="s" r="L30"/>
    </row>
    <row>
      <c t="s" r="A31"/>
      <c s="20" t="s" r="B31">
        <v>213</v>
      </c>
      <c t="s" r="C31"/>
      <c t="s" r="D31"/>
      <c t="s" r="E31"/>
      <c t="s" r="F31"/>
      <c t="s" r="G31"/>
      <c t="s" r="H31"/>
      <c t="s" r="I31"/>
      <c t="s" r="J31"/>
      <c t="s" r="K31"/>
      <c t="s" r="L31"/>
    </row>
    <row>
      <c t="s" r="A32"/>
      <c t="s" r="B32">
        <v>214</v>
      </c>
      <c s="36" r="C32">
        <v>-19361</v>
      </c>
      <c s="35" r="D32">
        <v>-5703</v>
      </c>
      <c s="36" r="E32">
        <v>-10876</v>
      </c>
      <c s="35" r="F32">
        <v>29954</v>
      </c>
      <c s="36" r="G32">
        <v>-21520</v>
      </c>
      <c s="36" r="H32">
        <v>200474</v>
      </c>
      <c s="36" r="I32">
        <v>-11070</v>
      </c>
      <c s="55" r="J32">
        <v>-133146</v>
      </c>
      <c s="36" r="K32">
        <v>-40465</v>
      </c>
      <c s="36" r="L32">
        <v>-84604</v>
      </c>
    </row>
    <row>
      <c t="s" r="A33"/>
      <c s="20" t="s" r="B33">
        <v>215</v>
      </c>
      <c t="s" r="C33"/>
      <c t="s" r="D33"/>
      <c t="s" r="E33"/>
      <c t="s" r="F33"/>
      <c t="s" r="G33"/>
      <c t="s" r="H33"/>
      <c t="s" r="I33"/>
      <c t="s" r="J33"/>
      <c t="s" r="K33"/>
      <c t="s" r="L33"/>
    </row>
    <row>
      <c s="29" r="A34">
        <v>18</v>
      </c>
      <c t="s" r="B34">
        <v>169</v>
      </c>
      <c s="54" r="C34">
        <v>-648</v>
      </c>
      <c s="35" r="D34">
        <v>24047</v>
      </c>
      <c s="29" r="E34">
        <v>66</v>
      </c>
      <c s="35" r="F34">
        <v>19998</v>
      </c>
      <c s="36" r="G34">
        <v>-12615</v>
      </c>
      <c s="36" r="H34">
        <v>187635</v>
      </c>
      <c s="35" r="I34">
        <v>13893</v>
      </c>
      <c s="55" r="J34">
        <v>-195151</v>
      </c>
      <c t="s" r="K34"/>
      <c t="s" r="L34"/>
    </row>
    <row>
      <c s="29" r="A35">
        <v>19</v>
      </c>
      <c t="s" r="B35">
        <v>216</v>
      </c>
      <c s="35" r="C35">
        <v>18713</v>
      </c>
      <c s="35" r="D35">
        <v>29750</v>
      </c>
      <c s="35" r="E35">
        <v>10942</v>
      </c>
      <c s="35" r="F35">
        <v>-9956</v>
      </c>
      <c s="25" r="G35">
        <v>8905</v>
      </c>
      <c s="36" r="H35">
        <v>-12839</v>
      </c>
      <c s="35" r="I35">
        <v>24963</v>
      </c>
      <c s="36" r="J35">
        <v>-62005</v>
      </c>
      <c t="s" r="K35"/>
      <c t="s" r="L35"/>
    </row>
    <row>
      <c t="s" r="A36"/>
      <c s="20" t="s" r="B36">
        <v>217</v>
      </c>
      <c t="s" r="C36"/>
      <c t="s" r="D36"/>
      <c t="s" r="E36"/>
      <c t="s" r="F36"/>
      <c t="s" r="G36"/>
      <c t="s" r="H36"/>
      <c t="s" r="I36"/>
      <c t="s" r="J36"/>
      <c t="s" r="K36"/>
      <c t="s" r="L36"/>
    </row>
    <row>
      <c s="29" r="A37">
        <v>20</v>
      </c>
      <c t="s" r="B37">
        <v>218</v>
      </c>
      <c s="26" r="C37">
        <v>4.9</v>
      </c>
      <c s="26" r="D37">
        <v>4.5</v>
      </c>
      <c s="26" r="E37">
        <v>4.9</v>
      </c>
      <c s="26" r="F37">
        <v>4.0</v>
      </c>
      <c s="26" r="G37">
        <v>3.6</v>
      </c>
      <c s="26" r="H37">
        <v>5.2</v>
      </c>
      <c s="26" r="I37">
        <v>7.8</v>
      </c>
      <c s="26" r="J37">
        <v>6.8</v>
      </c>
      <c t="s" r="K37"/>
      <c t="s" r="L37"/>
    </row>
    <row>
      <c s="29" r="A38">
        <v>21</v>
      </c>
      <c t="s" r="B38">
        <v>219</v>
      </c>
      <c s="26" r="C38">
        <v>4.4</v>
      </c>
      <c s="26" r="D38">
        <v>4.7</v>
      </c>
      <c s="26" r="E38">
        <v>3.9</v>
      </c>
      <c s="26" r="F38">
        <v>4.1</v>
      </c>
      <c s="26" r="G38">
        <v>4.6</v>
      </c>
      <c s="26" r="H38">
        <v>4.2</v>
      </c>
      <c s="26" r="I38">
        <v>9.2</v>
      </c>
      <c s="26" r="J38">
        <v>4.7</v>
      </c>
      <c t="s" r="K38"/>
      <c t="s" r="L38"/>
    </row>
    <row>
      <c t="s" r="A39"/>
      <c t="s" r="B39"/>
      <c t="s" r="C39"/>
      <c t="s" r="D39"/>
      <c t="s" r="E39"/>
      <c t="s" r="F39"/>
      <c t="s" r="G39"/>
      <c t="s" r="H39"/>
      <c t="s" r="I39"/>
      <c t="s" r="J39"/>
      <c t="s" r="K39"/>
      <c t="s" r="L39"/>
    </row>
    <row>
      <c t="s" r="A40"/>
      <c s="21" t="s" r="B40">
        <v>102</v>
      </c>
      <c s="34" r="C40">
        <f>_xlfn.HYPERLINK("mailto:econ@beeflambnz.com","econ@beeflambnz.com")</f>
      </c>
      <c t="s" r="D40"/>
      <c t="s" r="E40"/>
      <c s="19" t="s" r="F40">
        <v>54</v>
      </c>
      <c t="s" r="G40"/>
      <c t="s" r="H40"/>
      <c t="s" r="I40"/>
      <c t="s" r="J40"/>
      <c t="s" r="K40"/>
      <c s="21" t="s" r="L40">
        <v>103</v>
      </c>
    </row>
  </sheetData>
  <mergeCells count="1">
    <mergeCell ref="C40:E40"/>
  </mergeCells>
  <hyperlinks>
    <hyperlink ref="L2" location="Notes!A1" display="Notes tab"/>
    <hyperlink ref="F40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  <legacyDrawing r:id="rId1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/>
  <dcterms:created xsi:type="dcterms:W3CDTF">2025-09-11T08:46:21Z</dcterms:created>
</cp:coreProperties>
</file>