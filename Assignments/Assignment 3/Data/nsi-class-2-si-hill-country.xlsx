
<file path=[Content_Types].xml><?xml version="1.0" encoding="utf-8"?>
<Types xmlns="http://schemas.openxmlformats.org/package/2006/content-types"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Target="docProps/core.xml" Type="http://schemas.openxmlformats.org/package/2006/relationships/metadata/core-properties" Id="rId11"/>
<Relationship Target="xl/workbook.xml" Type="http://schemas.openxmlformats.org/officeDocument/2006/relationships/officeDocument" Id="rId12"/>
</Relationships>

</file>

<file path=xl/workbook.xml><?xml version="1.0" encoding="utf-8"?>
<workbook xmlns:r="http://schemas.openxmlformats.org/officeDocument/2006/relationships" xmlns="http://schemas.openxmlformats.org/spreadsheetml/2006/main">
  <sheets>
    <sheet r:id="rId1" sheetId="1" name="Notes"/>
    <sheet r:id="rId2" sheetId="2" name="PerformanceIndicators-Farm"/>
    <sheet r:id="rId3" sheetId="3" name="RevenueExpenseProfit-Farm"/>
    <sheet r:id="rId4" sheetId="4" name="RevenueExpenseProfit-SU"/>
    <sheet r:id="rId5" sheetId="5" name="RevenueExpenseProfit-HA"/>
    <sheet r:id="rId6" sheetId="6" name="CapitalStructure-Farm"/>
    <sheet r:id="rId7" sheetId="7" name="CapitalStructure-SU"/>
    <sheet r:id="rId8" sheetId="8" name="CapitalStructure-HA"/>
    <sheet r:id="rId9" sheetId="9" name="FlowOfFunds-Farm"/>
  </sheets>
  <calcPr fullCalcOnLoad="1"/>
</workbook>
</file>

<file path=xl/comments9.xml><?xml version="1.0" encoding="utf-8"?>
<comments xmlns="http://schemas.openxmlformats.org/spreadsheetml/2006/main">
  <authors>
    <author>BLNZ</author>
  </authors>
  <commentList>
    <comment authorId="0" ref="C14">
      <text>
        <r>
          <t>Rate: 5.7%
Term: 3.4 years</t>
        </r>
      </text>
    </comment>
    <comment authorId="0" ref="D14">
      <text>
        <r>
          <t>Rate: 4.9%
Term: 8.8 years</t>
        </r>
      </text>
    </comment>
    <comment authorId="0" ref="E14">
      <text>
        <r>
          <t>Rate: 5.3%
Term: 4.9 years</t>
        </r>
      </text>
    </comment>
    <comment authorId="0" ref="F14">
      <text>
        <r>
          <t>Rate: 4.3%
Term: 6.0 years</t>
        </r>
      </text>
    </comment>
    <comment authorId="0" ref="G14">
      <text>
        <r>
          <t>Rate: 2.9%
Term: 21.3 years</t>
        </r>
      </text>
    </comment>
    <comment authorId="0" ref="H14">
      <text>
        <r>
          <t>Rate: 5.1%
Term: 10.3 years</t>
        </r>
      </text>
    </comment>
    <comment authorId="0" ref="I14">
      <text>
        <r>
          <t>Rate: 7.7%
Term: 8.8 years</t>
        </r>
      </text>
    </comment>
    <comment authorId="0" ref="J14">
      <text>
        <r>
          <t>Rate: 8.0%
Term: 2.8 years</t>
        </r>
      </text>
    </comment>
  </commentList>
</comments>
</file>

<file path=xl/sharedStrings.xml><?xml version="1.0" encoding="utf-8"?>
<sst xmlns="http://schemas.openxmlformats.org/spreadsheetml/2006/main" count="497" uniqueCount="220">
  <si>
    <t>Sheep and Beef Farm Survey: Class 2 S.I. Hill Country - Marlborough-Canterbury</t>
  </si>
  <si>
    <t>This workbook has a number of "tabs" (at the bottom of the page) with each tab containing data</t>
  </si>
  <si>
    <t>Navigate within this workbook</t>
  </si>
  <si>
    <t>on a per Farm, per Hectare (ha) or per Stock Unit (su) basis.</t>
  </si>
  <si>
    <t>Performance Indicators Per Farm Analysis</t>
  </si>
  <si>
    <t>$ Per Farm Analysis</t>
  </si>
  <si>
    <t>Individual Farm Classes in the table below are ranked from Extensive to Intensive and comprise:</t>
  </si>
  <si>
    <t>$ Per Stock Unit Analysis</t>
  </si>
  <si>
    <t>$ Per Hectare Analysis</t>
  </si>
  <si>
    <t>Northland</t>
  </si>
  <si>
    <t>East</t>
  </si>
  <si>
    <t>Taranaki-</t>
  </si>
  <si>
    <t>Capital Structure $ per Farm</t>
  </si>
  <si>
    <t>North Island</t>
  </si>
  <si>
    <t>Waikato-BoP</t>
  </si>
  <si>
    <t> Coast</t>
  </si>
  <si>
    <t>Manawatu</t>
  </si>
  <si>
    <t>Capital Structure $ per Stock Unit</t>
  </si>
  <si>
    <t>Class 3</t>
  </si>
  <si>
    <t>North Island Hard Hill Country</t>
  </si>
  <si>
    <t>Capital Structure $ per Hectare</t>
  </si>
  <si>
    <t>Class 4</t>
  </si>
  <si>
    <t>North Island Hill Country</t>
  </si>
  <si>
    <t>Flow of Funds $ per Farm</t>
  </si>
  <si>
    <t>Class 5</t>
  </si>
  <si>
    <t>North Island Intensive Finishing</t>
  </si>
  <si>
    <t>Class 9</t>
  </si>
  <si>
    <t>All Classes Region</t>
  </si>
  <si>
    <t>Marlborough</t>
  </si>
  <si>
    <t>Otago</t>
  </si>
  <si>
    <t>South Island</t>
  </si>
  <si>
    <t>Canterbury</t>
  </si>
  <si>
    <t>Southland</t>
  </si>
  <si>
    <t>Class 1</t>
  </si>
  <si>
    <t>South Island High Country</t>
  </si>
  <si>
    <t>Class 2</t>
  </si>
  <si>
    <t>South Island Hill Country</t>
  </si>
  <si>
    <t>Class 6</t>
  </si>
  <si>
    <t>South Island Finishing Breeding</t>
  </si>
  <si>
    <t>Class 7</t>
  </si>
  <si>
    <t>South Island Intensive Finishing</t>
  </si>
  <si>
    <t>Class 8</t>
  </si>
  <si>
    <t>South Island Mixed Finishing</t>
  </si>
  <si>
    <t>New Zealand</t>
  </si>
  <si>
    <t>NZ</t>
  </si>
  <si>
    <t>All Classes NZ</t>
  </si>
  <si>
    <t>The Class 9  "All Classes NZ" or "All Classes Region" Farm is a weighted average of its respective farm Classes and does</t>
  </si>
  <si>
    <t>not represent any one farm but is a useful representation of the New Zealand Sheep and Beef Farm Sector or a Region</t>
  </si>
  <si>
    <t>subsector Farm that describes annual data and sector trends.</t>
  </si>
  <si>
    <t>If more information is required, please use the following contact email address:</t>
  </si>
  <si>
    <t>econ@beeflambnz.com</t>
  </si>
  <si>
    <t>BNS.6100</t>
  </si>
  <si>
    <t>Beef + Lamb New Zealand Economic Service</t>
  </si>
  <si>
    <t>Sheep and Beef Farm Survey - Performance Indicators Per Farm Analysis</t>
  </si>
  <si>
    <t>Notes tab</t>
  </si>
  <si>
    <t>Class 2 S.I. Hill Country - Marlborough-Canterbury</t>
  </si>
  <si>
    <t>Provisional</t>
  </si>
  <si>
    <t>Forecast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</si>
  <si>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</si>
  <si>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</si>
  <si>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</si>
  <si>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</si>
  <si>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</si>
  <si>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</si>
  <si>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</si>
  <si>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</si>
  <si>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</si>
  <si>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</si>
  <si>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Physical Indicators</t>
  </si>
  <si>
    <t>Effective Area (Hectares)</t>
  </si>
  <si>
    <t>Total Labour Units</t>
  </si>
  <si>
    <t>Total Stock Units at Open</t>
  </si>
  <si>
    <t>Stock Units per ha</t>
  </si>
  <si>
    <t>Production Indicators</t>
  </si>
  <si>
    <t>Ewe Lambing %</t>
  </si>
  <si>
    <t>Hogget lambs as % Total lambs</t>
  </si>
  <si>
    <t>Calving %</t>
  </si>
  <si>
    <t>Fawning %</t>
  </si>
  <si>
    <t>Shorn Wool Sold kg Per Sheep</t>
  </si>
  <si>
    <t>Shorn Wool Sold kg Per Sheep SU</t>
  </si>
  <si>
    <t>Price Indicators</t>
  </si>
  <si>
    <t>Net Wool cents per kg greasy</t>
  </si>
  <si>
    <t>Sales Prime Lamb  $ per head</t>
  </si>
  <si>
    <t>Sales Store lambs $ per head</t>
  </si>
  <si>
    <t>Sales Ewes MA Prime $ per head</t>
  </si>
  <si>
    <t>Sales Ewes MA Store $ per head</t>
  </si>
  <si>
    <t>Sales Ewes 2th Prime $ per head</t>
  </si>
  <si>
    <t>Sales Ewes 2th Store $ per head</t>
  </si>
  <si>
    <t>Sales Steers 1-1.5 yr Prime $ per head</t>
  </si>
  <si>
    <t>Sales Steers 2 yr+ Prime $ per head</t>
  </si>
  <si>
    <t>Sales Bull Beef Prime/Boner $ per head</t>
  </si>
  <si>
    <t>Sales Cows Prime/Boner      $ per head</t>
  </si>
  <si>
    <t>Sales Bull Beef   1 yr Store $ per head</t>
  </si>
  <si>
    <t>Sales Steers  1-1.5 yr Store $ per head</t>
  </si>
  <si>
    <t>Sales Heifers 1-1.5 yr Store $ per head</t>
  </si>
  <si>
    <t>Financial Indicators</t>
  </si>
  <si>
    <t>Economic Farm Surplus $ per hectare</t>
  </si>
  <si>
    <t>Economic Farm Surplus $ per stock unit</t>
  </si>
  <si>
    <t>Earnings b4 Interest Tax &amp; Rent $ per ha</t>
  </si>
  <si>
    <t>Earnings b4 Interest Tax &amp; Rent $ per SU</t>
  </si>
  <si>
    <t>Rate of Return on Total Farm Capital %</t>
  </si>
  <si>
    <t>Equity as % of Total Assets</t>
  </si>
  <si>
    <t>For more information:</t>
  </si>
  <si>
    <t>© Beef + Lamb New Zealand Economic Service 2025</t>
  </si>
  <si>
    <t>Sheep and Beef Farm Survey - $ Per Farm Analysis</t>
  </si>
  <si>
    <t>Revenue Per Farm</t>
  </si>
  <si>
    <t>Wool</t>
  </si>
  <si>
    <t>Sheep</t>
  </si>
  <si>
    <t>Cattle</t>
  </si>
  <si>
    <t>Dairy Grazing</t>
  </si>
  <si>
    <t>Deer + Velvet</t>
  </si>
  <si>
    <t>Cash Crop</t>
  </si>
  <si>
    <t>Other</t>
  </si>
  <si>
    <t>Total Gross Revenue</t>
  </si>
  <si>
    <t>Expenditure Per Farm</t>
  </si>
  <si>
    <t>Wages</t>
  </si>
  <si>
    <t>Animal Health</t>
  </si>
  <si>
    <t>Weed &amp; Pest Control</t>
  </si>
  <si>
    <t>Shearing Expenses</t>
  </si>
  <si>
    <t>Fertiliser</t>
  </si>
  <si>
    <t>Lime</t>
  </si>
  <si>
    <t>Seeds</t>
  </si>
  <si>
    <t>Vehicle Expenses</t>
  </si>
  <si>
    <t>Fuel</t>
  </si>
  <si>
    <t>Electricity</t>
  </si>
  <si>
    <t>Feed &amp; Grazing</t>
  </si>
  <si>
    <t>Dog expenses</t>
  </si>
  <si>
    <t>Irrigation Charges</t>
  </si>
  <si>
    <t>Cultivation &amp; Sowing</t>
  </si>
  <si>
    <t>Cash Crop Expenses</t>
  </si>
  <si>
    <t>Repairs &amp; Maintenance</t>
  </si>
  <si>
    <t>Cartage</t>
  </si>
  <si>
    <t>Administration Expenses</t>
  </si>
  <si>
    <t>Total Working Expenses</t>
  </si>
  <si>
    <t>Insurance</t>
  </si>
  <si>
    <t>ACC Levies</t>
  </si>
  <si>
    <t>Rates</t>
  </si>
  <si>
    <t>Managerial Salaries</t>
  </si>
  <si>
    <t>Interest</t>
  </si>
  <si>
    <t>Rent</t>
  </si>
  <si>
    <t>Total Standing Charges</t>
  </si>
  <si>
    <t>Total Cash Expenditure</t>
  </si>
  <si>
    <t>Depreciation</t>
  </si>
  <si>
    <t>Total Farm Expenditure</t>
  </si>
  <si>
    <t>Farm Profit before Tax</t>
  </si>
  <si>
    <t>Sheep and Beef Farm Survey - $ Per Stock Unit Analysis</t>
  </si>
  <si>
    <t>Revenue Per Stock Unit</t>
  </si>
  <si>
    <t>Wool Ac       per Sheep SU</t>
  </si>
  <si>
    <t>Sheep Ac      per Sheep SU</t>
  </si>
  <si>
    <t>Wool+Sheep Ac per Sheep SU</t>
  </si>
  <si>
    <t>    Shearing exp per Sheep SU</t>
  </si>
  <si>
    <t>Cattle Ac per Beef Cattle SU</t>
  </si>
  <si>
    <t>Dairy Grazing per Dairy (Replacement) SU</t>
  </si>
  <si>
    <t>Deer + Velvet  per Deer SU</t>
  </si>
  <si>
    <t>Total Gross Revenue per SU</t>
  </si>
  <si>
    <t>Expenditure Per Stock Unit</t>
  </si>
  <si>
    <t>Sheep and Beef Farm Survey - $ Per Hectare Analysis</t>
  </si>
  <si>
    <t>Revenue Per Hectare</t>
  </si>
  <si>
    <t>Expenditure Per Hectare</t>
  </si>
  <si>
    <t>Sheep and Beef Farm Survey - Capital Structure $ per Farm</t>
  </si>
  <si>
    <t>ASSETS</t>
  </si>
  <si>
    <t>Capital Value (excluding Homestead)</t>
  </si>
  <si>
    <t>Truck and Tractor</t>
  </si>
  <si>
    <t>Other Plant &amp; Machinery</t>
  </si>
  <si>
    <t>Sheep at Market Value</t>
  </si>
  <si>
    <t>Cattle at Market Value</t>
  </si>
  <si>
    <t>Deer at Market Value</t>
  </si>
  <si>
    <t>Other Livestock at Market Value</t>
  </si>
  <si>
    <t>FARM CAPITAL</t>
  </si>
  <si>
    <t>Current Assets</t>
  </si>
  <si>
    <t>Term Deposits</t>
  </si>
  <si>
    <t>Income Equalisation Balance</t>
  </si>
  <si>
    <t>Investments Off-Farm</t>
  </si>
  <si>
    <t>Other Assets</t>
  </si>
  <si>
    <t>Homestead</t>
  </si>
  <si>
    <t>Car</t>
  </si>
  <si>
    <t>TOTAL ASSETS AT CLOSE</t>
  </si>
  <si>
    <t>LIABILITIES</t>
  </si>
  <si>
    <t>Current Liabilities</t>
  </si>
  <si>
    <t>Fixed Liabilities</t>
  </si>
  <si>
    <t>Net Worth</t>
  </si>
  <si>
    <t>TOTAL AT CLOSE</t>
  </si>
  <si>
    <t>Sheep at Open</t>
  </si>
  <si>
    <t>Cattle at Open</t>
  </si>
  <si>
    <t>Deer at Open</t>
  </si>
  <si>
    <t>Effective Area (Ha)</t>
  </si>
  <si>
    <t> Reserves calculated in this manner recognises these non-owned assets and allows the true Net Worth position to be shown in line 18.</t>
  </si>
  <si>
    <t>Sheep and Beef Farm Survey - Capital Structure $ per Stock Unit</t>
  </si>
  <si>
    <t> Reserves calculated in this manner recognises these non-owned assets and allows the true Net Worth position to be shown in line 17.</t>
  </si>
  <si>
    <t>Sheep and Beef Farm Survey - Capital Structure $ per Hectare</t>
  </si>
  <si>
    <t>Sheep and Beef Farm Survey - Flow of Funds $ per Farm</t>
  </si>
  <si>
    <t>SOURCE OF FUNDS</t>
  </si>
  <si>
    <t>Farm Profit Before Tax</t>
  </si>
  <si>
    <t>plus Depreciation</t>
  </si>
  <si>
    <t>plus Livestock Value Change</t>
  </si>
  <si>
    <t>= FARM CASH SURPLUS</t>
  </si>
  <si>
    <t>plus Interest &amp; Dividends</t>
  </si>
  <si>
    <t>plus Non Farm Income</t>
  </si>
  <si>
    <t>plus Mortgage Increase*</t>
  </si>
  <si>
    <t>plus Carbon Credit Receipts</t>
  </si>
  <si>
    <t>plus Other Sources</t>
  </si>
  <si>
    <t>= SOURCE OF FUNDS (A)</t>
  </si>
  <si>
    <t>APPLICATION OF FUNDS</t>
  </si>
  <si>
    <t>New Buildings &amp; Additions</t>
  </si>
  <si>
    <t>plus Plant &amp; Vehicles</t>
  </si>
  <si>
    <t>plus Income Equalisation A/c</t>
  </si>
  <si>
    <t>plus Term Deposits</t>
  </si>
  <si>
    <t>plus Investment</t>
  </si>
  <si>
    <t>plus Mortgage Reduction</t>
  </si>
  <si>
    <t>plus Drawings</t>
  </si>
  <si>
    <t>plus Tax</t>
  </si>
  <si>
    <t>plus Other Applications</t>
  </si>
  <si>
    <t>= APPLICATION OF FUNDS (B)</t>
  </si>
  <si>
    <t>SOURCE - APPLICATION (A-B)</t>
  </si>
  <si>
    <t>= CHANGE IN WORKING CAPITAL</t>
  </si>
  <si>
    <t>REFLECTED BY CHANGE IN</t>
  </si>
  <si>
    <t>less Current Liabilities</t>
  </si>
  <si>
    <t>*MORTGAGE INCREASE DETAILS</t>
  </si>
  <si>
    <t>Interest Rate %</t>
  </si>
  <si>
    <t>Term in Years</t>
  </si>
</sst>
</file>

<file path=xl/styles.xml><?xml version="1.0" encoding="utf-8"?>
<styleSheet xmlns="http://schemas.openxmlformats.org/spreadsheetml/2006/main">
  <numFmts>
    <numFmt formatCode="dd-mm-yy" numFmtId="50"/>
    <numFmt formatCode="0.00" numFmtId="51"/>
    <numFmt formatCode="0.0" numFmtId="52"/>
    <numFmt formatCode="##0.0" numFmtId="53"/>
    <numFmt formatCode="#0.0" numFmtId="54"/>
    <numFmt formatCode="#0" numFmtId="55"/>
    <numFmt formatCode="#0.00" numFmtId="56"/>
    <numFmt formatCode="##0.00" numFmtId="57"/>
    <numFmt formatCode="##,##0" numFmtId="58"/>
    <numFmt formatCode="###,##0" numFmtId="59"/>
    <numFmt formatCode="##0" numFmtId="60"/>
    <numFmt formatCode="#,###,##0" numFmtId="61"/>
    <numFmt formatCode="##,###,##0" numFmtId="62"/>
    <numFmt formatCode="###0" numFmtId="63"/>
  </numFmts>
  <fonts>
    <font>
      <sz val="10.0"/>
      <name val="Arial"/>
      <family val="2"/>
    </font>
    <font>
      <b val="true"/>
      <sz val="14"/>
    </font>
    <font>
      <u val="true"/>
      <color rgb="FF041690"/>
    </font>
    <font>
      <b val="true"/>
    </font>
    <font>
      <b val="true"/>
      <sz val="11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>
    <xf borderId="0" fillId="0" fontId="0" numFmtId="0"/>
  </cellStyleXfs>
  <cellXfs>
    <xf numFmtId="0" borderId="0" fillId="0" fontId="0" xfId="0"/>
    <xf numFmtId="0" borderId="0" fillId="0" fontId="1"/>
    <xf applyNumberFormat="1" numFmtId="1" borderId="0" fillId="0" fontId="0"/>
    <xf numFmtId="0" borderId="0" fillId="0" fontId="2"/>
    <xf numFmtId="0" borderId="1" fillId="0" fontId="0" applyAlignment="1">
      <alignment horizontal="center"/>
    </xf>
    <xf numFmtId="0" borderId="2" fillId="0" fontId="0" applyAlignment="1">
      <alignment horizontal="center"/>
    </xf>
    <xf numFmtId="0" borderId="1" fillId="0" fontId="3"/>
    <xf numFmtId="0" borderId="3" fillId="0" fontId="0"/>
    <xf numFmtId="0" borderId="4" fillId="0" fontId="0" applyAlignment="1">
      <alignment horizontal="center"/>
    </xf>
    <xf numFmtId="0" borderId="0" fillId="0" fontId="0" applyAlignment="1">
      <alignment horizontal="center" indent="0"/>
    </xf>
    <xf numFmtId="0" borderId="1" fillId="0" fontId="0"/>
    <xf numFmtId="0" borderId="5" fillId="0" fontId="0" applyAlignment="1">
      <alignment horizontal="center"/>
    </xf>
    <xf numFmtId="0" borderId="6" fillId="0" fontId="0"/>
    <xf numFmtId="0" borderId="7" fillId="0" fontId="0"/>
    <xf numFmtId="0" borderId="8" fillId="0" fontId="0" applyAlignment="1">
      <alignment horizontal="center"/>
    </xf>
    <xf numFmtId="0" borderId="5" fillId="0" fontId="0"/>
    <xf numFmtId="0" borderId="0" fillId="0" fontId="0" applyAlignment="1">
      <alignment horizontal="right"/>
    </xf>
    <xf applyNumberFormat="1" numFmtId="50" borderId="0" fillId="0" fontId="3" applyAlignment="1">
      <alignment horizontal="right"/>
    </xf>
    <xf numFmtId="0" borderId="0" fillId="0" fontId="4"/>
    <xf numFmtId="0" borderId="0" fillId="0" fontId="2" applyAlignment="1">
      <alignment horizontal="right"/>
    </xf>
    <xf numFmtId="0" borderId="0" fillId="0" fontId="3"/>
    <xf numFmtId="0" borderId="0" fillId="0" fontId="3" applyAlignment="1">
      <alignment horizontal="right"/>
    </xf>
    <xf applyNumberFormat="1" numFmtId="1" borderId="0" fillId="0" fontId="0" applyAlignment="1">
      <alignment horizontal="right"/>
    </xf>
    <xf applyNumberFormat="1" numFmtId="3" borderId="0" fillId="0" fontId="0" applyAlignment="1">
      <alignment horizontal="right"/>
    </xf>
    <xf applyNumberFormat="1" numFmtId="51" borderId="0" fillId="0" fontId="0" applyAlignment="1">
      <alignment horizontal="right"/>
    </xf>
    <xf applyNumberFormat="1" numFmtId="52" borderId="0" fillId="0" fontId="0" applyAlignment="1">
      <alignment horizontal="right"/>
    </xf>
    <xf applyNumberFormat="1" numFmtId="53" borderId="0" fillId="0" fontId="0" applyAlignment="1">
      <alignment horizontal="right"/>
    </xf>
    <xf applyNumberFormat="1" numFmtId="54" borderId="0" fillId="0" fontId="0" applyAlignment="1">
      <alignment horizontal="right"/>
    </xf>
    <xf applyNumberFormat="1" numFmtId="55" borderId="0" fillId="0" fontId="0" applyAlignment="1">
      <alignment horizontal="right"/>
    </xf>
    <xf applyNumberFormat="1" numFmtId="56" borderId="0" fillId="0" fontId="0" applyAlignment="1">
      <alignment horizontal="right"/>
    </xf>
    <xf applyNumberFormat="1" numFmtId="57" borderId="0" fillId="0" fontId="0" applyAlignment="1">
      <alignment horizontal="right"/>
    </xf>
    <xf applyNumberFormat="1" numFmtId="4" borderId="0" fillId="0" fontId="0" applyAlignment="1">
      <alignment horizontal="right"/>
    </xf>
    <xf numFmtId="0" borderId="0" fillId="0" fontId="2" applyAlignment="1">
      <alignment horizontal="left"/>
    </xf>
    <xf applyNumberFormat="1" numFmtId="58" borderId="0" fillId="0" fontId="0" applyAlignment="1">
      <alignment horizontal="right"/>
    </xf>
    <xf applyNumberFormat="1" numFmtId="59" borderId="0" fillId="0" fontId="0" applyAlignment="1">
      <alignment horizontal="right"/>
    </xf>
    <xf applyNumberFormat="1" numFmtId="60" borderId="0" fillId="0" fontId="0" applyAlignment="1">
      <alignment horizontal="right"/>
    </xf>
    <xf applyNumberFormat="1" numFmtId="1" borderId="0" fillId="0" fontId="3" applyAlignment="1">
      <alignment horizontal="right"/>
    </xf>
    <xf applyNumberFormat="1" numFmtId="59" borderId="0" fillId="0" fontId="3" applyAlignment="1">
      <alignment horizontal="right"/>
    </xf>
    <xf applyNumberFormat="1" numFmtId="55" borderId="0" fillId="0" fontId="3" applyAlignment="1">
      <alignment horizontal="right"/>
    </xf>
    <xf applyNumberFormat="1" numFmtId="58" borderId="0" fillId="0" fontId="3" applyAlignment="1">
      <alignment horizontal="right"/>
    </xf>
    <xf numFmtId="0" borderId="0" fillId="0" fontId="0" applyAlignment="1">
      <alignment indent="1"/>
    </xf>
    <xf applyNumberFormat="1" numFmtId="57" borderId="0" fillId="0" fontId="3" applyAlignment="1">
      <alignment horizontal="right"/>
    </xf>
    <xf applyNumberFormat="1" numFmtId="56" borderId="0" fillId="0" fontId="3" applyAlignment="1">
      <alignment horizontal="right"/>
    </xf>
    <xf applyNumberFormat="1" numFmtId="61" borderId="0" fillId="0" fontId="0" applyAlignment="1">
      <alignment horizontal="right"/>
    </xf>
    <xf applyNumberFormat="1" numFmtId="62" borderId="0" fillId="0" fontId="0" applyAlignment="1">
      <alignment horizontal="right"/>
    </xf>
    <xf applyNumberFormat="1" numFmtId="61" borderId="0" fillId="0" fontId="3" applyAlignment="1">
      <alignment horizontal="right"/>
    </xf>
    <xf applyNumberFormat="1" numFmtId="62" borderId="0" fillId="0" fontId="3" applyAlignment="1">
      <alignment horizontal="right"/>
    </xf>
    <xf applyNumberFormat="1" numFmtId="3" borderId="0" fillId="0" fontId="3" applyAlignment="1">
      <alignment horizontal="right"/>
    </xf>
    <xf numFmtId="0" borderId="0" fillId="0" fontId="0" applyAlignment="1">
      <alignment indent="0"/>
    </xf>
    <xf applyNumberFormat="1" numFmtId="4" borderId="0" fillId="0" fontId="3" applyAlignment="1">
      <alignment horizontal="right"/>
    </xf>
    <xf applyNumberFormat="1" numFmtId="63" borderId="0" fillId="0" fontId="0" applyAlignment="1">
      <alignment horizontal="right"/>
    </xf>
  </cellXfs>
</styleSheet>
</file>

<file path=xl/_rels/workbook.xml.rels><?xml version="1.0" encoding="UTF-8" standalone="yes"?>
<Relationships xmlns="http://schemas.openxmlformats.org/package/2006/relationships">
<Relationship Id="rId10" Type="http://schemas.openxmlformats.org/officeDocument/2006/relationships/styles" Target="styles.xml" />
<Relationship Target="sharedStrings.xml" Type="http://schemas.openxmlformats.org/officeDocument/2006/relationships/sharedStrings" Id="rId11"/>
<Relationship Id="rId1" Type="http://schemas.openxmlformats.org/officeDocument/2006/relationships/worksheet" Target="worksheets/sheet1.xml" />
<Relationship Id="rId2" Type="http://schemas.openxmlformats.org/officeDocument/2006/relationships/worksheet" Target="worksheets/sheet2.xml" />
<Relationship Id="rId3" Type="http://schemas.openxmlformats.org/officeDocument/2006/relationships/worksheet" Target="worksheets/sheet3.xml" />
<Relationship Id="rId4" Type="http://schemas.openxmlformats.org/officeDocument/2006/relationships/worksheet" Target="worksheets/sheet4.xml" />
<Relationship Id="rId5" Type="http://schemas.openxmlformats.org/officeDocument/2006/relationships/worksheet" Target="worksheets/sheet5.xml" />
<Relationship Id="rId6" Type="http://schemas.openxmlformats.org/officeDocument/2006/relationships/worksheet" Target="worksheets/sheet6.xml" />
<Relationship Id="rId7" Type="http://schemas.openxmlformats.org/officeDocument/2006/relationships/worksheet" Target="worksheets/sheet7.xml" />
<Relationship Id="rId8" Type="http://schemas.openxmlformats.org/officeDocument/2006/relationships/worksheet" Target="worksheets/sheet8.xml" />
<Relationship Id="rId9" Type="http://schemas.openxmlformats.org/officeDocument/2006/relationships/worksheet" Target="worksheets/sheet9.xml" />
</Relationships>

</file>

<file path=xl/worksheets/_rels/sheet9.xml.rels><?xml version="1.0" encoding="UTF-8" standalone="yes"?>
<Relationships xmlns="http://schemas.openxmlformats.org/package/2006/relationships">
<Relationship Target="../comments9.xml" Type="http://schemas.openxmlformats.org/officeDocument/2006/relationships/comments" Id="rId2"/>
<Relationship Target="../drawings/vmlDrawing9.vml" Type="http://schemas.openxmlformats.org/officeDocument/2006/relationships/vmlDrawing" Id="rId1"/>
</Relationships>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4" customWidth="1"/>
    <col min="3" max="3" width="14" customWidth="1"/>
    <col min="4" max="4" width="9" customWidth="1"/>
    <col min="5" max="5" width="9" customWidth="1"/>
    <col min="6" max="6" width="9" customWidth="1"/>
    <col min="7" max="7" width="13" customWidth="1"/>
    <col min="8" max="8" width="10" customWidth="1"/>
    <col min="9" max="9" width="12" customWidth="1"/>
    <col min="10" max="10" width="9" customWidth="1"/>
    <col min="11" max="11" width="9" customWidth="1"/>
    <col min="12" max="12" width="9" customWidth="1"/>
    <col min="13" max="13" width="9" customWidth="1"/>
  </cols>
  <sheetData>
    <row>
      <c t="s" r="A1"/>
      <c t="s" r="B1"/>
      <c t="s" r="C1"/>
      <c t="s" r="D1"/>
      <c t="s" r="E1"/>
      <c t="s" r="F1"/>
      <c t="s" r="G1"/>
      <c t="s" r="H1"/>
      <c t="s" r="I1"/>
      <c t="s" r="J1"/>
      <c t="s" r="K1"/>
      <c t="s" r="L1"/>
      <c t="s" r="M1"/>
      <c t="s" r="N1"/>
    </row>
    <row>
      <c s="1" t="s" r="A2">
        <v>0</v>
      </c>
      <c t="s" r="B2"/>
      <c t="s" r="C2"/>
      <c t="s" r="D2"/>
      <c t="s" r="E2"/>
      <c t="s" r="F2"/>
      <c t="s" r="G2"/>
      <c t="s" r="H2"/>
      <c t="s" r="I2"/>
      <c t="s" r="J2"/>
      <c t="s" r="K2"/>
      <c t="s" r="L2"/>
      <c t="s" r="M2"/>
      <c t="s" r="N2"/>
    </row>
    <row>
      <c t="s" r="A3"/>
      <c t="s" r="B3"/>
      <c t="s" r="C3"/>
      <c t="s" r="D3"/>
      <c t="s" r="E3"/>
      <c t="s" r="F3"/>
      <c t="s" r="G3"/>
      <c t="s" r="H3"/>
      <c t="s" r="I3"/>
      <c t="s" r="J3"/>
      <c t="s" r="K3"/>
      <c t="s" r="L3"/>
      <c t="s" r="M3"/>
      <c t="s" r="N3"/>
    </row>
    <row>
      <c s="2" r="A4">
        <v>1</v>
      </c>
      <c t="s" r="B4">
        <v>1</v>
      </c>
      <c t="s" r="C4"/>
      <c t="s" r="D4"/>
      <c t="s" r="E4"/>
      <c t="s" r="F4"/>
      <c t="s" r="G4"/>
      <c t="s" r="H4"/>
      <c t="s" r="I4"/>
      <c t="s" r="J4"/>
      <c t="s" r="K4">
        <v>2</v>
      </c>
      <c t="s" r="L4"/>
      <c t="s" r="M4"/>
      <c t="s" r="N4"/>
    </row>
    <row>
      <c t="s" r="A5"/>
      <c t="s" r="B5">
        <v>3</v>
      </c>
      <c t="s" r="C5"/>
      <c t="s" r="D5"/>
      <c t="s" r="E5"/>
      <c t="s" r="F5"/>
      <c t="s" r="G5"/>
      <c t="s" r="H5"/>
      <c t="s" r="I5"/>
      <c t="s" r="J5"/>
      <c s="3" t="s" r="K5">
        <v>4</v>
      </c>
      <c t="s" r="L5"/>
      <c t="s" r="M5"/>
      <c t="s" r="N5"/>
    </row>
    <row>
      <c t="s" r="A6"/>
      <c t="s" r="B6"/>
      <c t="s" r="C6"/>
      <c t="s" r="D6"/>
      <c t="s" r="E6"/>
      <c t="s" r="F6"/>
      <c t="s" r="G6"/>
      <c t="s" r="H6"/>
      <c t="s" r="I6"/>
      <c t="s" r="J6"/>
      <c s="3" t="s" r="K6">
        <v>5</v>
      </c>
      <c t="s" r="L6"/>
      <c t="s" r="M6"/>
      <c t="s" r="N6"/>
    </row>
    <row>
      <c s="2" r="A7">
        <v>2</v>
      </c>
      <c t="s" r="B7">
        <v>6</v>
      </c>
      <c t="s" r="C7"/>
      <c t="s" r="D7"/>
      <c t="s" r="E7"/>
      <c t="s" r="F7"/>
      <c t="s" r="G7"/>
      <c t="s" r="H7"/>
      <c t="s" r="I7"/>
      <c t="s" r="J7"/>
      <c s="3" t="s" r="K7">
        <v>7</v>
      </c>
      <c t="s" r="L7"/>
      <c t="s" r="M7"/>
      <c t="s" r="N7"/>
    </row>
    <row>
      <c t="s" r="A8"/>
      <c t="s" r="B8"/>
      <c t="s" r="C8"/>
      <c t="s" r="D8"/>
      <c t="s" r="E8"/>
      <c t="s" r="F8"/>
      <c t="s" r="G8"/>
      <c t="s" r="H8"/>
      <c t="s" r="I8"/>
      <c t="s" r="J8"/>
      <c s="3" t="s" r="K8">
        <v>8</v>
      </c>
      <c t="s" r="L8"/>
      <c t="s" r="M8"/>
      <c t="s" r="N8"/>
    </row>
    <row>
      <c t="s" r="A9"/>
      <c t="s" r="B9"/>
      <c t="s" r="C9"/>
      <c t="s" r="D9"/>
      <c t="s" r="E9"/>
      <c t="s" r="F9"/>
      <c s="4" t="s" r="G9">
        <v>9</v>
      </c>
      <c s="4" t="s" r="H9">
        <v>10</v>
      </c>
      <c s="5" t="s" r="I9">
        <v>11</v>
      </c>
      <c t="s" r="J9"/>
      <c s="3" t="s" r="K9">
        <v>12</v>
      </c>
      <c t="s" r="L9"/>
      <c t="s" r="M9"/>
      <c t="s" r="N9"/>
    </row>
    <row>
      <c t="s" r="A10"/>
      <c t="s" r="B10"/>
      <c s="6" t="s" r="C10">
        <v>13</v>
      </c>
      <c s="7" t="s" r="D10"/>
      <c s="7" t="s" r="E10"/>
      <c s="7" t="s" r="F10"/>
      <c s="8" t="s" r="G10">
        <v>14</v>
      </c>
      <c s="9" t="s" r="H10">
        <v>15</v>
      </c>
      <c s="8" t="s" r="I10">
        <v>16</v>
      </c>
      <c t="s" r="J10"/>
      <c s="3" t="s" r="K10">
        <v>17</v>
      </c>
      <c t="s" r="L10"/>
      <c t="s" r="M10"/>
      <c t="s" r="N10"/>
    </row>
    <row>
      <c t="s" r="A11"/>
      <c t="s" r="B11"/>
      <c s="10" t="s" r="C11">
        <v>18</v>
      </c>
      <c s="7" t="s" r="D11">
        <v>19</v>
      </c>
      <c s="7" t="s" r="E11"/>
      <c s="7" t="s" r="F11"/>
      <c s="11" t="inlineStr" r="G11">
        <is>
          <t>✓</t>
        </is>
      </c>
      <c s="11" t="inlineStr" r="H11">
        <is>
          <t>
            <is>
              <t>✓</t>
            </is>
            ✓
          </t>
        </is>
      </c>
      <c s="11" t="inlineStr" r="I11">
        <is>
          <t>
            <is>
              <t>
                <is>
                  <t>✓</t>
                </is>
                ✓
              </t>
            </is>
            ✓
          </t>
        </is>
      </c>
      <c t="s" r="J11"/>
      <c s="3" t="s" r="K11">
        <v>20</v>
      </c>
      <c t="s" r="L11"/>
      <c t="s" r="M11"/>
      <c t="s" r="N11"/>
    </row>
    <row>
      <c t="s" r="A12"/>
      <c t="s" r="B12"/>
      <c s="10" t="s" r="C12">
        <v>21</v>
      </c>
      <c s="7" t="s" r="D12">
        <v>22</v>
      </c>
      <c s="7" t="s" r="E12"/>
      <c s="7" t="s" r="F12"/>
      <c s="11" t="inlineStr" r="G12">
        <is>
          <t>✓</t>
        </is>
      </c>
      <c s="11" t="inlineStr" r="H12">
        <is>
          <t>
            <is>
              <t>✓</t>
            </is>
            ✓
          </t>
        </is>
      </c>
      <c s="11" t="inlineStr" r="I12">
        <is>
          <t>
            <is>
              <t>
                <is>
                  <t>✓</t>
                </is>
                ✓
              </t>
            </is>
            ✓
          </t>
        </is>
      </c>
      <c t="s" r="J12"/>
      <c s="3" t="s" r="K12">
        <v>23</v>
      </c>
      <c t="s" r="L12"/>
      <c t="s" r="M12"/>
      <c t="s" r="N12"/>
    </row>
    <row>
      <c t="s" r="A13"/>
      <c t="s" r="B13"/>
      <c s="10" t="s" r="C13">
        <v>24</v>
      </c>
      <c s="7" t="s" r="D13">
        <v>25</v>
      </c>
      <c s="7" t="s" r="E13"/>
      <c s="7" t="s" r="F13"/>
      <c s="11" t="inlineStr" r="G13">
        <is>
          <t>✓</t>
        </is>
      </c>
      <c s="11" t="inlineStr" r="H13">
        <is>
          <t>
            <is>
              <t>✓</t>
            </is>
            ✓
          </t>
        </is>
      </c>
      <c s="11" t="inlineStr" r="I13">
        <is>
          <t>
            <is>
              <t>
                <is>
                  <t>✓</t>
                </is>
                ✓
              </t>
            </is>
            ✓
          </t>
        </is>
      </c>
      <c t="s" r="J13"/>
      <c t="s" r="K13"/>
      <c t="s" r="L13"/>
      <c t="s" r="M13"/>
      <c t="s" r="N13"/>
    </row>
    <row>
      <c t="s" r="A14"/>
      <c t="s" r="B14"/>
      <c s="12" t="s" r="C14">
        <v>26</v>
      </c>
      <c s="13" t="s" r="D14">
        <v>27</v>
      </c>
      <c s="13" t="s" r="E14"/>
      <c s="13" t="s" r="F14"/>
      <c s="11" t="inlineStr" r="G14">
        <is>
          <t>✓</t>
        </is>
      </c>
      <c s="11" t="inlineStr" r="H14">
        <is>
          <t>
            <is>
              <t>✓</t>
            </is>
            ✓
          </t>
        </is>
      </c>
      <c s="11" t="inlineStr" r="I14">
        <is>
          <t>
            <is>
              <t>
                <is>
                  <t>✓</t>
                </is>
                ✓
              </t>
            </is>
            ✓
          </t>
        </is>
      </c>
      <c t="s" r="J14"/>
      <c t="s" r="K14"/>
      <c t="s" r="L14"/>
      <c t="s" r="M14"/>
      <c t="s" r="N14"/>
    </row>
    <row>
      <c t="s" r="A15"/>
      <c t="s" r="B15"/>
      <c t="s" r="C15"/>
      <c t="s" r="D15"/>
      <c t="s" r="E15"/>
      <c t="s" r="F15"/>
      <c t="s" r="G15"/>
      <c t="s" r="H15"/>
      <c t="s" r="I15"/>
      <c t="s" r="J15"/>
      <c t="s" r="K15"/>
      <c t="s" r="L15"/>
      <c t="s" r="M15"/>
      <c t="s" r="N15"/>
    </row>
    <row>
      <c t="s" r="A16"/>
      <c t="s" r="B16"/>
      <c t="s" r="C16"/>
      <c t="s" r="D16"/>
      <c t="s" r="E16"/>
      <c t="s" r="F16"/>
      <c s="4" t="s" r="G16">
        <v>28</v>
      </c>
      <c s="5" t="s" r="H16">
        <v>29</v>
      </c>
      <c t="s" r="I16"/>
      <c t="s" r="J16"/>
      <c s="3" r="K16">
        <f>_xlfn.HYPERLINK("https://beeflambnz.com/industry-data/farm-data-and-industry-production/sheep-beef-farm-survey","Click here for more Survey Reports")</f>
      </c>
      <c t="s" r="L16"/>
      <c t="s" r="M16"/>
      <c t="s" r="N16"/>
    </row>
    <row>
      <c t="s" r="A17"/>
      <c t="s" r="B17"/>
      <c s="6" t="s" r="C17">
        <v>30</v>
      </c>
      <c s="7" t="s" r="D17"/>
      <c s="7" t="s" r="E17"/>
      <c s="7" t="s" r="F17"/>
      <c s="14" t="s" r="G17">
        <v>31</v>
      </c>
      <c s="8" t="s" r="H17">
        <v>32</v>
      </c>
      <c t="s" r="I17"/>
      <c t="s" r="J17"/>
      <c t="s" r="K17"/>
      <c t="s" r="L17"/>
      <c t="s" r="M17"/>
      <c t="s" r="N17"/>
    </row>
    <row>
      <c t="s" r="A18"/>
      <c t="s" r="B18"/>
      <c s="10" t="s" r="C18">
        <v>33</v>
      </c>
      <c s="7" t="s" r="D18">
        <v>34</v>
      </c>
      <c s="7" t="s" r="E18"/>
      <c s="7" t="s" r="F18"/>
      <c s="15" t="s" r="G18"/>
      <c s="15" t="s" r="H18"/>
      <c t="s" r="I18"/>
      <c t="s" r="J18"/>
      <c t="s" r="K18"/>
      <c t="s" r="L18"/>
      <c t="s" r="M18"/>
      <c t="s" r="N18"/>
    </row>
    <row>
      <c t="s" r="A19"/>
      <c t="s" r="B19"/>
      <c s="10" t="s" r="C19">
        <v>35</v>
      </c>
      <c s="7" t="s" r="D19">
        <v>36</v>
      </c>
      <c s="7" t="s" r="E19"/>
      <c s="7" t="s" r="F19"/>
      <c s="11" t="inlineStr" r="G19">
        <is>
          <t>✓</t>
        </is>
      </c>
      <c s="15" t="s" r="H19"/>
      <c t="s" r="I19"/>
      <c t="s" r="J19"/>
      <c t="s" r="K19"/>
      <c t="s" r="L19"/>
      <c t="s" r="M19"/>
      <c t="s" r="N19"/>
    </row>
    <row>
      <c t="s" r="A20"/>
      <c t="s" r="B20"/>
      <c s="10" t="s" r="C20">
        <v>37</v>
      </c>
      <c s="7" t="s" r="D20">
        <v>38</v>
      </c>
      <c s="7" t="s" r="E20"/>
      <c s="7" t="s" r="F20"/>
      <c s="11" t="inlineStr" r="G20">
        <is>
          <t>✓</t>
        </is>
      </c>
      <c s="11" t="inlineStr" r="H20">
        <is>
          <t>
            <is>
              <t>✓</t>
            </is>
            ✓
          </t>
        </is>
      </c>
      <c t="s" r="I20"/>
      <c t="s" r="J20"/>
      <c t="s" r="K20"/>
      <c t="s" r="L20"/>
      <c t="s" r="M20"/>
      <c t="s" r="N20"/>
    </row>
    <row>
      <c t="s" r="A21"/>
      <c t="s" r="B21"/>
      <c s="10" t="s" r="C21">
        <v>39</v>
      </c>
      <c s="7" t="s" r="D21">
        <v>40</v>
      </c>
      <c s="7" t="s" r="E21"/>
      <c s="7" t="s" r="F21"/>
      <c s="15" t="s" r="G21"/>
      <c s="11" t="inlineStr" r="H21">
        <is>
          <t>✓</t>
        </is>
      </c>
      <c t="s" r="I21"/>
      <c t="s" r="J21"/>
      <c t="s" r="K21"/>
      <c t="s" r="L21"/>
      <c t="s" r="M21"/>
      <c t="s" r="N21"/>
    </row>
    <row>
      <c t="s" r="A22"/>
      <c t="s" r="B22"/>
      <c s="10" t="s" r="C22">
        <v>41</v>
      </c>
      <c s="7" t="s" r="D22">
        <v>42</v>
      </c>
      <c s="7" t="s" r="E22"/>
      <c s="7" t="s" r="F22"/>
      <c s="11" t="inlineStr" r="G22">
        <is>
          <t>✓</t>
        </is>
      </c>
      <c s="15" t="s" r="H22"/>
      <c t="s" r="I22"/>
      <c t="s" r="J22"/>
      <c t="s" r="K22"/>
      <c t="s" r="L22"/>
      <c t="s" r="M22"/>
      <c t="s" r="N22"/>
    </row>
    <row>
      <c t="s" r="A23"/>
      <c t="s" r="B23"/>
      <c s="12" t="s" r="C23">
        <v>26</v>
      </c>
      <c s="13" t="s" r="D23">
        <v>27</v>
      </c>
      <c s="13" t="s" r="E23"/>
      <c s="13" t="s" r="F23"/>
      <c s="11" t="inlineStr" r="G23">
        <is>
          <t>✓</t>
        </is>
      </c>
      <c s="11" t="inlineStr" r="H23">
        <is>
          <t>
            <is>
              <t>✓</t>
            </is>
            ✓
          </t>
        </is>
      </c>
      <c t="s" r="I23"/>
      <c t="s" r="J23"/>
      <c t="s" r="K23"/>
      <c t="s" r="L23"/>
      <c t="s" r="M23"/>
      <c t="s" r="N23"/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  <c t="s" r="M24"/>
      <c t="s" r="N24"/>
    </row>
    <row>
      <c t="s" r="A25"/>
      <c t="s" r="B25"/>
      <c s="6" t="s" r="C25">
        <v>43</v>
      </c>
      <c s="7" t="s" r="D25"/>
      <c s="7" t="s" r="E25"/>
      <c s="7" t="s" r="F25"/>
      <c s="11" t="s" r="G25">
        <v>44</v>
      </c>
      <c t="s" r="H25"/>
      <c t="s" r="I25"/>
      <c t="s" r="J25"/>
      <c t="s" r="K25"/>
      <c t="s" r="L25"/>
      <c t="s" r="M25"/>
      <c t="s" r="N25"/>
    </row>
    <row>
      <c t="s" r="A26"/>
      <c t="s" r="B26"/>
      <c s="10" t="s" r="C26">
        <v>33</v>
      </c>
      <c s="7" t="s" r="D26">
        <v>34</v>
      </c>
      <c s="7" t="s" r="E26"/>
      <c s="7" t="s" r="F26"/>
      <c s="11" t="inlineStr" r="G26">
        <is>
          <t>✓</t>
        </is>
      </c>
      <c t="s" r="H26"/>
      <c t="s" r="I26"/>
      <c t="s" r="J26"/>
      <c t="s" r="K26"/>
      <c t="s" r="L26"/>
      <c t="s" r="M26"/>
      <c t="s" r="N26"/>
    </row>
    <row>
      <c t="s" r="A27"/>
      <c t="s" r="B27"/>
      <c s="10" t="s" r="C27">
        <v>35</v>
      </c>
      <c s="7" t="s" r="D27">
        <v>36</v>
      </c>
      <c s="7" t="s" r="E27"/>
      <c s="7" t="s" r="F27"/>
      <c s="11" t="inlineStr" r="G27">
        <is>
          <t>✓</t>
        </is>
      </c>
      <c t="s" r="H27"/>
      <c t="s" r="I27"/>
      <c t="s" r="J27"/>
      <c t="s" r="K27"/>
      <c t="s" r="L27"/>
      <c t="s" r="M27"/>
      <c t="s" r="N27"/>
    </row>
    <row>
      <c t="s" r="A28"/>
      <c t="s" r="B28"/>
      <c s="10" t="s" r="C28">
        <v>18</v>
      </c>
      <c s="7" t="s" r="D28">
        <v>19</v>
      </c>
      <c s="7" t="s" r="E28"/>
      <c s="7" t="s" r="F28"/>
      <c s="11" t="inlineStr" r="G28">
        <is>
          <t>✓</t>
        </is>
      </c>
      <c t="s" r="H28"/>
      <c t="s" r="I28"/>
      <c t="s" r="J28"/>
      <c t="s" r="K28"/>
      <c t="s" r="L28"/>
      <c t="s" r="M28"/>
      <c t="s" r="N28"/>
    </row>
    <row>
      <c t="s" r="A29"/>
      <c t="s" r="B29"/>
      <c s="10" t="s" r="C29">
        <v>21</v>
      </c>
      <c s="7" t="s" r="D29">
        <v>22</v>
      </c>
      <c s="7" t="s" r="E29"/>
      <c s="7" t="s" r="F29"/>
      <c s="11" t="inlineStr" r="G29">
        <is>
          <t>✓</t>
        </is>
      </c>
      <c t="s" r="H29"/>
      <c t="s" r="I29"/>
      <c t="s" r="J29"/>
      <c t="s" r="K29"/>
      <c t="s" r="L29"/>
      <c t="s" r="M29"/>
      <c t="s" r="N29"/>
    </row>
    <row>
      <c t="s" r="A30"/>
      <c t="s" r="B30"/>
      <c s="10" t="s" r="C30">
        <v>24</v>
      </c>
      <c s="7" t="s" r="D30">
        <v>25</v>
      </c>
      <c s="7" t="s" r="E30"/>
      <c s="7" t="s" r="F30"/>
      <c s="11" t="inlineStr" r="G30">
        <is>
          <t>✓</t>
        </is>
      </c>
      <c t="s" r="H30"/>
      <c t="s" r="I30"/>
      <c t="s" r="J30"/>
      <c t="s" r="K30"/>
      <c t="s" r="L30"/>
      <c t="s" r="M30"/>
      <c t="s" r="N30"/>
    </row>
    <row>
      <c t="s" r="A31"/>
      <c t="s" r="B31"/>
      <c s="10" t="s" r="C31">
        <v>37</v>
      </c>
      <c s="7" t="s" r="D31">
        <v>38</v>
      </c>
      <c s="7" t="s" r="E31"/>
      <c s="7" t="s" r="F31"/>
      <c s="11" t="inlineStr" r="G31">
        <is>
          <t>✓</t>
        </is>
      </c>
      <c t="s" r="H31"/>
      <c t="s" r="I31"/>
      <c t="s" r="J31"/>
      <c t="s" r="K31"/>
      <c t="s" r="L31"/>
      <c t="s" r="M31"/>
      <c t="s" r="N31"/>
    </row>
    <row>
      <c t="s" r="A32"/>
      <c t="s" r="B32"/>
      <c s="10" t="s" r="C32">
        <v>39</v>
      </c>
      <c s="7" t="s" r="D32">
        <v>40</v>
      </c>
      <c s="7" t="s" r="E32"/>
      <c s="7" t="s" r="F32"/>
      <c s="11" t="inlineStr" r="G32">
        <is>
          <t>✓</t>
        </is>
      </c>
      <c t="s" r="H32"/>
      <c t="s" r="I32"/>
      <c t="s" r="J32"/>
      <c t="s" r="K32"/>
      <c t="s" r="L32"/>
      <c t="s" r="M32"/>
      <c t="s" r="N32"/>
    </row>
    <row>
      <c t="s" r="A33"/>
      <c t="s" r="B33"/>
      <c s="10" t="s" r="C33">
        <v>41</v>
      </c>
      <c s="7" t="s" r="D33">
        <v>42</v>
      </c>
      <c s="7" t="s" r="E33"/>
      <c s="7" t="s" r="F33"/>
      <c s="11" t="inlineStr" r="G33">
        <is>
          <t>✓</t>
        </is>
      </c>
      <c t="s" r="H33"/>
      <c t="s" r="I33"/>
      <c t="s" r="J33"/>
      <c t="s" r="K33"/>
      <c t="s" r="L33"/>
      <c t="s" r="M33"/>
      <c t="s" r="N33"/>
    </row>
    <row>
      <c t="s" r="A34"/>
      <c t="s" r="B34"/>
      <c s="12" t="s" r="C34">
        <v>26</v>
      </c>
      <c s="13" t="s" r="D34">
        <v>45</v>
      </c>
      <c s="13" t="s" r="E34"/>
      <c s="13" t="s" r="F34"/>
      <c s="11" t="inlineStr" r="G34">
        <is>
          <t>✓</t>
        </is>
      </c>
      <c t="s" r="H34"/>
      <c t="s" r="I34"/>
      <c t="s" r="J34"/>
      <c t="s" r="K34"/>
      <c t="s" r="L34"/>
      <c t="s" r="M34"/>
      <c t="s" r="N34"/>
    </row>
    <row>
      <c t="s" r="A35"/>
      <c t="s" r="B35"/>
      <c t="s" r="C35"/>
      <c t="s" r="D35"/>
      <c t="s" r="E35"/>
      <c t="s" r="F35"/>
      <c t="s" r="G35"/>
      <c t="s" r="H35"/>
      <c t="s" r="I35"/>
      <c t="s" r="J35"/>
      <c t="s" r="K35"/>
      <c t="s" r="L35"/>
      <c t="s" r="M35"/>
      <c t="s" r="N35"/>
    </row>
    <row>
      <c s="2" r="A36">
        <v>3</v>
      </c>
      <c t="s" r="B36">
        <v>46</v>
      </c>
      <c t="s" r="C36"/>
      <c t="s" r="D36"/>
      <c t="s" r="E36"/>
      <c t="s" r="F36"/>
      <c t="s" r="G36"/>
      <c t="s" r="H36"/>
      <c t="s" r="I36"/>
      <c t="s" r="J36"/>
      <c t="s" r="K36"/>
      <c t="s" r="L36"/>
      <c t="s" r="M36"/>
      <c t="s" r="N36"/>
    </row>
    <row>
      <c t="s" r="A37"/>
      <c t="s" r="B37">
        <v>47</v>
      </c>
      <c t="s" r="C37"/>
      <c t="s" r="D37"/>
      <c t="s" r="E37"/>
      <c t="s" r="F37"/>
      <c t="s" r="G37"/>
      <c t="s" r="H37"/>
      <c t="s" r="I37"/>
      <c t="s" r="J37"/>
      <c t="s" r="K37"/>
      <c t="s" r="L37"/>
      <c t="s" r="M37"/>
      <c t="s" r="N37"/>
    </row>
    <row>
      <c t="s" r="A38"/>
      <c t="s" r="B38">
        <v>48</v>
      </c>
      <c t="s" r="C38"/>
      <c t="s" r="D38"/>
      <c t="s" r="E38"/>
      <c t="s" r="F38"/>
      <c t="s" r="G38"/>
      <c t="s" r="H38"/>
      <c t="s" r="I38"/>
      <c t="s" r="J38"/>
      <c t="s" r="K38"/>
      <c t="s" r="L38"/>
      <c t="s" r="M38"/>
      <c t="s" r="N38"/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  <c t="s" r="M39"/>
      <c t="s" r="N39"/>
    </row>
    <row>
      <c s="2" r="A40">
        <v>4</v>
      </c>
      <c t="s" r="B40">
        <v>49</v>
      </c>
      <c t="s" r="C40"/>
      <c t="s" r="D40"/>
      <c t="s" r="E40"/>
      <c t="s" r="F40"/>
      <c t="s" r="G40"/>
      <c t="s" r="H40"/>
      <c t="s" r="I40"/>
      <c t="s" r="J40"/>
      <c t="s" r="K40"/>
      <c t="s" r="L40"/>
      <c t="s" r="M40"/>
      <c t="s" r="N40"/>
    </row>
    <row>
      <c t="s" r="A41"/>
      <c t="s" r="B41"/>
      <c t="s" r="C41">
        <v>50</v>
      </c>
      <c t="s" r="D41"/>
      <c t="s" r="E41"/>
      <c t="s" r="F41"/>
      <c t="s" r="G41"/>
      <c t="s" r="H41"/>
      <c t="s" r="I41"/>
      <c t="s" r="J41"/>
      <c t="s" r="K41"/>
      <c t="s" r="L41"/>
      <c t="s" r="M41"/>
      <c t="s" r="N41"/>
    </row>
    <row>
      <c t="s" r="A42"/>
      <c t="s" r="B42"/>
      <c t="s" r="C42"/>
      <c t="s" r="D42"/>
      <c t="s" r="E42"/>
      <c t="s" r="F42"/>
      <c t="s" r="G42"/>
      <c t="s" r="H42"/>
      <c t="s" r="I42"/>
      <c t="s" r="J42"/>
      <c t="s" r="K42"/>
      <c t="s" r="L42"/>
      <c t="s" r="M42"/>
      <c t="s" r="N42"/>
    </row>
    <row>
      <c t="s" r="A43"/>
      <c t="s" r="B43"/>
      <c t="s" r="C43"/>
      <c t="s" r="D43"/>
      <c t="s" r="E43"/>
      <c t="s" r="F43"/>
      <c t="s" r="G43"/>
      <c t="s" r="H43"/>
      <c t="s" r="I43"/>
      <c t="s" r="J43"/>
      <c t="s" r="K43"/>
      <c t="s" r="L43"/>
      <c t="s" r="M43"/>
      <c t="s" r="N43"/>
    </row>
  </sheetData>
  <mergeCells count="9">
    <mergeCell ref="K5:N5"/>
    <mergeCell ref="K6:N6"/>
    <mergeCell ref="K7:N7"/>
    <mergeCell ref="K8:N8"/>
    <mergeCell ref="K9:N9"/>
    <mergeCell ref="K10:N10"/>
    <mergeCell ref="K11:N11"/>
    <mergeCell ref="K12:N12"/>
    <mergeCell ref="K16:N16"/>
  </mergeCells>
  <hyperlinks>
    <hyperlink ref="K5" location="'PerformanceIndicators-Farm'!A1" display="Performance Indicators Per Farm Analysis"/>
    <hyperlink ref="K6" location="'RevenueExpenseProfit-Farm'!A1" display="$ Per Farm Analysis"/>
    <hyperlink ref="K7" location="'RevenueExpenseProfit-SU'!A1" display="$ Per Stock Unit Analysis"/>
    <hyperlink ref="K8" location="'RevenueExpenseProfit-HA'!A1" display="$ Per Hectare Analysis"/>
    <hyperlink ref="K9" location="'CapitalStructure-Farm'!A1" display="Capital Structure $ per Farm"/>
    <hyperlink ref="K10" location="'CapitalStructure-SU'!A1" display="Capital Structure $ per Stock Unit"/>
    <hyperlink ref="K11" location="'CapitalStructure-HA'!A1" display="Capital Structure $ per Hectare"/>
    <hyperlink ref="K12" location="'FlowOfFunds-Farm'!A1" display="Flow of Funds $ per Farm"/>
  </hyperlinks>
  <printOptions gridLines="0" gridLinesSet="1"/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53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68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69</v>
      </c>
      <c s="23" r="C8">
        <v>1593</v>
      </c>
      <c s="23" r="D8">
        <v>1718</v>
      </c>
      <c s="23" r="E8">
        <v>1668</v>
      </c>
      <c s="23" r="F8">
        <v>1596</v>
      </c>
      <c s="23" r="G8">
        <v>1597</v>
      </c>
      <c s="23" r="H8">
        <v>1414</v>
      </c>
      <c s="23" r="I8">
        <v>1432</v>
      </c>
      <c s="23" r="J8">
        <v>1416</v>
      </c>
      <c s="23" r="K8">
        <v>1416</v>
      </c>
      <c s="23" r="L8">
        <v>1416</v>
      </c>
    </row>
    <row>
      <c s="22" r="A9">
        <v>2</v>
      </c>
      <c t="s" r="B9">
        <v>70</v>
      </c>
      <c s="24" r="C9">
        <v>2.08</v>
      </c>
      <c s="24" r="D9">
        <v>2.12</v>
      </c>
      <c s="24" r="E9">
        <v>2.32</v>
      </c>
      <c s="24" r="F9">
        <v>2.32</v>
      </c>
      <c s="24" r="G9">
        <v>2.20</v>
      </c>
      <c s="24" r="H9">
        <v>2.16</v>
      </c>
      <c s="24" r="I9">
        <v>2.19</v>
      </c>
      <c s="24" r="J9">
        <v>2.09</v>
      </c>
      <c t="s" r="K9"/>
      <c t="s" r="L9"/>
    </row>
    <row>
      <c s="22" r="A10">
        <v>3</v>
      </c>
      <c t="s" r="B10">
        <v>71</v>
      </c>
      <c s="23" r="C10">
        <v>5862</v>
      </c>
      <c s="23" r="D10">
        <v>6157</v>
      </c>
      <c s="23" r="E10">
        <v>6625</v>
      </c>
      <c s="23" r="F10">
        <v>6651</v>
      </c>
      <c s="23" r="G10">
        <v>6279</v>
      </c>
      <c s="23" r="H10">
        <v>5990</v>
      </c>
      <c s="23" r="I10">
        <v>6527</v>
      </c>
      <c s="23" r="J10">
        <v>6546</v>
      </c>
      <c s="23" r="K10">
        <v>5697</v>
      </c>
      <c s="23" r="L10">
        <v>5860</v>
      </c>
    </row>
    <row>
      <c s="22" r="A11">
        <v>4</v>
      </c>
      <c t="s" r="B11">
        <v>72</v>
      </c>
      <c s="25" r="C11">
        <v>3.7</v>
      </c>
      <c s="25" r="D11">
        <v>3.6</v>
      </c>
      <c s="25" r="E11">
        <v>4.0</v>
      </c>
      <c s="25" r="F11">
        <v>4.2</v>
      </c>
      <c s="25" r="G11">
        <v>3.9</v>
      </c>
      <c s="25" r="H11">
        <v>4.2</v>
      </c>
      <c s="25" r="I11">
        <v>4.6</v>
      </c>
      <c s="25" r="J11">
        <v>4.6</v>
      </c>
      <c t="s" r="K11"/>
      <c t="s" r="L11"/>
    </row>
    <row>
      <c t="s" r="A12"/>
      <c t="s" r="B12"/>
      <c t="s" r="C12"/>
      <c t="s" r="D12"/>
      <c t="s" r="E12"/>
      <c t="s" r="F12"/>
      <c t="s" r="G12"/>
      <c t="s" r="H12"/>
      <c t="s" r="I12"/>
      <c t="s" r="J12"/>
      <c t="s" r="K12"/>
      <c t="s" r="L12"/>
    </row>
    <row>
      <c t="s" r="A13"/>
      <c s="20" t="s" r="B13">
        <v>73</v>
      </c>
      <c t="s" r="C13"/>
      <c t="s" r="D13"/>
      <c t="s" r="E13"/>
      <c t="s" r="F13"/>
      <c t="s" r="G13"/>
      <c t="s" r="H13"/>
      <c t="s" r="I13"/>
      <c t="s" r="J13"/>
      <c t="s" r="K13"/>
      <c t="s" r="L13"/>
    </row>
    <row>
      <c s="22" r="A14">
        <v>5</v>
      </c>
      <c t="s" r="B14">
        <v>74</v>
      </c>
      <c s="26" r="C14">
        <v>121.0</v>
      </c>
      <c s="26" r="D14">
        <v>121.4</v>
      </c>
      <c s="26" r="E14">
        <v>129.1</v>
      </c>
      <c s="26" r="F14">
        <v>122.8</v>
      </c>
      <c s="26" r="G14">
        <v>121.3</v>
      </c>
      <c s="26" r="H14">
        <v>123.6</v>
      </c>
      <c s="26" r="I14">
        <v>124.5</v>
      </c>
      <c s="26" r="J14">
        <v>124.4</v>
      </c>
      <c s="26" r="K14">
        <v>118.9</v>
      </c>
      <c s="26" r="L14">
        <v>123.6</v>
      </c>
    </row>
    <row>
      <c s="22" r="A15">
        <v>6</v>
      </c>
      <c t="s" r="B15">
        <v>75</v>
      </c>
      <c s="25" r="C15">
        <v>4.4</v>
      </c>
      <c s="25" r="D15">
        <v>5.3</v>
      </c>
      <c s="25" r="E15">
        <v>6.4</v>
      </c>
      <c s="25" r="F15">
        <v>6.1</v>
      </c>
      <c s="25" r="G15">
        <v>5.6</v>
      </c>
      <c s="25" r="H15">
        <v>5.5</v>
      </c>
      <c s="25" r="I15">
        <v>6.2</v>
      </c>
      <c s="25" r="J15">
        <v>5.0</v>
      </c>
      <c s="25" r="K15">
        <v>5.7</v>
      </c>
      <c s="25" r="L15">
        <v>5.6</v>
      </c>
    </row>
    <row>
      <c s="22" r="A16">
        <v>7</v>
      </c>
      <c t="s" r="B16">
        <v>76</v>
      </c>
      <c s="27" r="C16">
        <v>80.6</v>
      </c>
      <c s="27" r="D16">
        <v>80.8</v>
      </c>
      <c s="27" r="E16">
        <v>84.1</v>
      </c>
      <c s="27" r="F16">
        <v>83.0</v>
      </c>
      <c s="27" r="G16">
        <v>80.3</v>
      </c>
      <c s="27" r="H16">
        <v>83.1</v>
      </c>
      <c s="27" r="I16">
        <v>81.4</v>
      </c>
      <c s="27" r="J16">
        <v>81.9</v>
      </c>
      <c s="27" r="K16">
        <v>79.9</v>
      </c>
      <c s="27" r="L16">
        <v>80.7</v>
      </c>
    </row>
    <row>
      <c s="22" r="A17">
        <v>8</v>
      </c>
      <c t="s" r="B17">
        <v>77</v>
      </c>
      <c s="27" r="C17">
        <v>88.6</v>
      </c>
      <c s="27" r="D17">
        <v>78.6</v>
      </c>
      <c s="27" r="E17">
        <v>90.0</v>
      </c>
      <c s="27" r="F17">
        <v>80.0</v>
      </c>
      <c s="27" r="G17">
        <v>88.9</v>
      </c>
      <c s="27" r="H17">
        <v>90.9</v>
      </c>
      <c s="26" r="I17">
        <v>100.0</v>
      </c>
      <c s="27" r="J17">
        <v>83.3</v>
      </c>
      <c s="27" r="K17">
        <v>83.3</v>
      </c>
      <c s="27" r="L17">
        <v>85.7</v>
      </c>
    </row>
    <row>
      <c t="s" r="A18"/>
      <c t="s" r="B18"/>
      <c t="s" r="C18"/>
      <c t="s" r="D18"/>
      <c t="s" r="E18"/>
      <c t="s" r="F18"/>
      <c t="s" r="G18"/>
      <c t="s" r="H18"/>
      <c t="s" r="I18"/>
      <c t="s" r="J18"/>
      <c t="s" r="K18"/>
      <c t="s" r="L18"/>
    </row>
    <row>
      <c s="22" r="A19">
        <v>9</v>
      </c>
      <c t="s" r="B19">
        <v>78</v>
      </c>
      <c s="24" r="C19">
        <v>3.66</v>
      </c>
      <c s="24" r="D19">
        <v>4.29</v>
      </c>
      <c s="24" r="E19">
        <v>4.48</v>
      </c>
      <c s="24" r="F19">
        <v>2.97</v>
      </c>
      <c s="24" r="G19">
        <v>4.59</v>
      </c>
      <c s="24" r="H19">
        <v>3.86</v>
      </c>
      <c s="24" r="I19">
        <v>3.98</v>
      </c>
      <c s="24" r="J19">
        <v>4.17</v>
      </c>
      <c s="24" r="K19">
        <v>3.90</v>
      </c>
      <c s="24" r="L19">
        <v>4.08</v>
      </c>
    </row>
    <row>
      <c s="28" r="A20">
        <v>10</v>
      </c>
      <c t="s" r="B20">
        <v>79</v>
      </c>
      <c s="24" r="C20">
        <v>4.06</v>
      </c>
      <c s="24" r="D20">
        <v>4.80</v>
      </c>
      <c s="24" r="E20">
        <v>4.92</v>
      </c>
      <c s="24" r="F20">
        <v>3.32</v>
      </c>
      <c s="24" r="G20">
        <v>5.17</v>
      </c>
      <c s="24" r="H20">
        <v>4.37</v>
      </c>
      <c s="24" r="I20">
        <v>4.41</v>
      </c>
      <c s="24" r="J20">
        <v>4.64</v>
      </c>
      <c s="24" r="K20">
        <v>4.41</v>
      </c>
      <c s="24" r="L20">
        <v>4.55</v>
      </c>
    </row>
    <row>
      <c t="s" r="A21"/>
      <c t="s" r="B21"/>
      <c t="s" r="C21"/>
      <c t="s" r="D21"/>
      <c t="s" r="E21"/>
      <c t="s" r="F21"/>
      <c t="s" r="G21"/>
      <c t="s" r="H21"/>
      <c t="s" r="I21"/>
      <c t="s" r="J21"/>
      <c t="s" r="K21"/>
      <c t="s" r="L21"/>
    </row>
    <row>
      <c t="s" r="A22"/>
      <c s="20" t="s" r="B22">
        <v>80</v>
      </c>
      <c t="s" r="C22"/>
      <c t="s" r="D22"/>
      <c t="s" r="E22"/>
      <c t="s" r="F22"/>
      <c t="s" r="G22"/>
      <c t="s" r="H22"/>
      <c t="s" r="I22"/>
      <c t="s" r="J22"/>
      <c t="s" r="K22"/>
      <c t="s" r="L22"/>
    </row>
    <row>
      <c s="28" r="A23">
        <v>11</v>
      </c>
      <c t="s" r="B23">
        <v>81</v>
      </c>
      <c s="26" r="C23">
        <v>482.6</v>
      </c>
      <c s="26" r="D23">
        <v>454.2</v>
      </c>
      <c s="26" r="E23">
        <v>477.8</v>
      </c>
      <c s="26" r="F23">
        <v>465.6</v>
      </c>
      <c s="26" r="G23">
        <v>296.7</v>
      </c>
      <c s="26" r="H23">
        <v>368.6</v>
      </c>
      <c s="26" r="I23">
        <v>345.5</v>
      </c>
      <c s="26" r="J23">
        <v>327.1</v>
      </c>
      <c s="26" r="K23">
        <v>370.0</v>
      </c>
      <c s="26" r="L23">
        <v>382.0</v>
      </c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</row>
    <row>
      <c s="28" r="A25">
        <v>12</v>
      </c>
      <c t="s" r="B25">
        <v>82</v>
      </c>
      <c s="29" r="C25">
        <v>97.02</v>
      </c>
      <c s="30" r="D25">
        <v>126.22</v>
      </c>
      <c s="30" r="E25">
        <v>125.78</v>
      </c>
      <c s="30" r="F25">
        <v>132.60</v>
      </c>
      <c s="30" r="G25">
        <v>119.38</v>
      </c>
      <c s="30" r="H25">
        <v>156.29</v>
      </c>
      <c s="30" r="I25">
        <v>131.32</v>
      </c>
      <c s="30" r="J25">
        <v>108.04</v>
      </c>
      <c s="30" r="K25">
        <v>149.00</v>
      </c>
      <c s="30" r="L25">
        <v>150.00</v>
      </c>
    </row>
    <row>
      <c s="28" r="A26">
        <v>13</v>
      </c>
      <c t="s" r="B26">
        <v>83</v>
      </c>
      <c s="29" r="C26">
        <v>77.44</v>
      </c>
      <c s="29" r="D26">
        <v>92.60</v>
      </c>
      <c s="30" r="E26">
        <v>103.44</v>
      </c>
      <c s="29" r="F26">
        <v>98.77</v>
      </c>
      <c s="29" r="G26">
        <v>90.70</v>
      </c>
      <c s="30" r="H26">
        <v>118.95</v>
      </c>
      <c s="29" r="I26">
        <v>97.18</v>
      </c>
      <c s="29" r="J26">
        <v>76.06</v>
      </c>
      <c s="30" r="K26">
        <v>116.00</v>
      </c>
      <c s="30" r="L26">
        <v>117.70</v>
      </c>
    </row>
    <row>
      <c s="28" r="A27">
        <v>14</v>
      </c>
      <c t="s" r="B27">
        <v>84</v>
      </c>
      <c s="29" r="C27">
        <v>82.20</v>
      </c>
      <c s="30" r="D27">
        <v>125.92</v>
      </c>
      <c s="30" r="E27">
        <v>137.36</v>
      </c>
      <c s="30" r="F27">
        <v>141.49</v>
      </c>
      <c s="30" r="G27">
        <v>136.10</v>
      </c>
      <c s="30" r="H27">
        <v>161.70</v>
      </c>
      <c s="30" r="I27">
        <v>112.86</v>
      </c>
      <c s="29" r="J27">
        <v>66.06</v>
      </c>
      <c s="29" r="K27">
        <v>93.00</v>
      </c>
      <c s="29" r="L27">
        <v>97.00</v>
      </c>
    </row>
    <row>
      <c s="28" r="A28">
        <v>15</v>
      </c>
      <c t="s" r="B28">
        <v>85</v>
      </c>
      <c s="29" r="C28">
        <v>90.09</v>
      </c>
      <c s="30" r="D28">
        <v>127.72</v>
      </c>
      <c s="30" r="E28">
        <v>147.74</v>
      </c>
      <c s="30" r="F28">
        <v>137.04</v>
      </c>
      <c s="30" r="G28">
        <v>135.59</v>
      </c>
      <c s="30" r="H28">
        <v>157.95</v>
      </c>
      <c s="30" r="I28">
        <v>107.01</v>
      </c>
      <c s="30" r="J28">
        <v>114.16</v>
      </c>
      <c s="30" r="K28">
        <v>160.00</v>
      </c>
      <c s="30" r="L28">
        <v>165.00</v>
      </c>
    </row>
    <row>
      <c s="28" r="A29">
        <v>16</v>
      </c>
      <c t="s" r="B29">
        <v>86</v>
      </c>
      <c t="s" r="C29"/>
      <c s="30" r="D29">
        <v>112.04</v>
      </c>
      <c s="30" r="E29">
        <v>146.58</v>
      </c>
      <c s="30" r="F29">
        <v>103.00</v>
      </c>
      <c s="30" r="G29">
        <v>139.79</v>
      </c>
      <c s="30" r="H29">
        <v>186.23</v>
      </c>
      <c s="30" r="I29">
        <v>153.17</v>
      </c>
      <c s="29" r="J29">
        <v>55.22</v>
      </c>
      <c t="s" r="K29"/>
      <c t="s" r="L29"/>
    </row>
    <row>
      <c s="28" r="A30">
        <v>17</v>
      </c>
      <c t="s" r="B30">
        <v>87</v>
      </c>
      <c t="s" r="C30"/>
      <c s="30" r="D30">
        <v>140.00</v>
      </c>
      <c s="30" r="E30">
        <v>145.26</v>
      </c>
      <c s="30" r="F30">
        <v>134.33</v>
      </c>
      <c s="30" r="G30">
        <v>200.44</v>
      </c>
      <c s="30" r="H30">
        <v>218.78</v>
      </c>
      <c s="29" r="I30">
        <v>99.46</v>
      </c>
      <c s="30" r="J30">
        <v>135.72</v>
      </c>
      <c s="30" r="K30">
        <v>260.00</v>
      </c>
      <c s="30" r="L30">
        <v>251.10</v>
      </c>
    </row>
    <row>
      <c t="s" r="A31"/>
      <c t="s" r="B31"/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s="28" r="A32">
        <v>18</v>
      </c>
      <c t="s" r="B32">
        <v>88</v>
      </c>
      <c s="31" r="C32">
        <v>1586.00</v>
      </c>
      <c s="31" r="D32">
        <v>1978.50</v>
      </c>
      <c s="31" r="E32">
        <v>1601.41</v>
      </c>
      <c s="31" r="F32">
        <v>1389.47</v>
      </c>
      <c s="31" r="G32">
        <v>1269.94</v>
      </c>
      <c s="31" r="H32">
        <v>1578.65</v>
      </c>
      <c s="31" r="I32">
        <v>1656.45</v>
      </c>
      <c s="31" r="J32">
        <v>1527.34</v>
      </c>
      <c s="31" r="K32">
        <v>1666.00</v>
      </c>
      <c s="31" r="L32">
        <v>1705.00</v>
      </c>
    </row>
    <row>
      <c s="28" r="A33">
        <v>19</v>
      </c>
      <c t="s" r="B33">
        <v>89</v>
      </c>
      <c s="31" r="C33">
        <v>1765.24</v>
      </c>
      <c s="31" r="D33">
        <v>1826.96</v>
      </c>
      <c s="31" r="E33">
        <v>1763.41</v>
      </c>
      <c s="31" r="F33">
        <v>1874.43</v>
      </c>
      <c s="31" r="G33">
        <v>1614.67</v>
      </c>
      <c s="31" r="H33">
        <v>1811.11</v>
      </c>
      <c s="31" r="I33">
        <v>1914.72</v>
      </c>
      <c s="31" r="J33">
        <v>1792.12</v>
      </c>
      <c s="31" r="K33">
        <v>2160.00</v>
      </c>
      <c s="31" r="L33">
        <v>2210.00</v>
      </c>
    </row>
    <row>
      <c s="28" r="A34">
        <v>20</v>
      </c>
      <c t="s" r="B34">
        <v>90</v>
      </c>
      <c s="31" r="C34">
        <v>1535.35</v>
      </c>
      <c s="31" r="D34">
        <v>1657.44</v>
      </c>
      <c s="31" r="E34">
        <v>1586.78</v>
      </c>
      <c s="31" r="F34">
        <v>1470.57</v>
      </c>
      <c s="31" r="G34">
        <v>1458.86</v>
      </c>
      <c s="31" r="H34">
        <v>1660.81</v>
      </c>
      <c s="31" r="I34">
        <v>1638.76</v>
      </c>
      <c s="31" r="J34">
        <v>1562.01</v>
      </c>
      <c s="31" r="K34">
        <v>1588.00</v>
      </c>
      <c s="31" r="L34">
        <v>1655.00</v>
      </c>
    </row>
    <row>
      <c s="28" r="A35">
        <v>21</v>
      </c>
      <c t="s" r="B35">
        <v>91</v>
      </c>
      <c s="31" r="C35">
        <v>1081.81</v>
      </c>
      <c s="31" r="D35">
        <v>1131.14</v>
      </c>
      <c s="30" r="E35">
        <v>975.33</v>
      </c>
      <c s="30" r="F35">
        <v>925.76</v>
      </c>
      <c s="30" r="G35">
        <v>842.25</v>
      </c>
      <c s="31" r="H35">
        <v>1080.13</v>
      </c>
      <c s="31" r="I35">
        <v>1132.54</v>
      </c>
      <c s="31" r="J35">
        <v>1002.75</v>
      </c>
      <c s="31" r="K35">
        <v>1432.00</v>
      </c>
      <c s="31" r="L35">
        <v>1472.00</v>
      </c>
    </row>
    <row>
      <c s="28" r="A36">
        <v>22</v>
      </c>
      <c t="s" r="B36">
        <v>92</v>
      </c>
      <c s="31" r="C36">
        <v>1087.64</v>
      </c>
      <c s="31" r="D36">
        <v>1088.15</v>
      </c>
      <c s="31" r="E36">
        <v>1282.97</v>
      </c>
      <c s="31" r="F36">
        <v>1486.24</v>
      </c>
      <c s="30" r="G36">
        <v>923.14</v>
      </c>
      <c s="31" r="H36">
        <v>1339.59</v>
      </c>
      <c s="31" r="I36">
        <v>1526.61</v>
      </c>
      <c s="31" r="J36">
        <v>1241.93</v>
      </c>
      <c s="31" r="K36">
        <v>1262.00</v>
      </c>
      <c s="31" r="L36">
        <v>1315.00</v>
      </c>
    </row>
    <row>
      <c s="28" r="A37">
        <v>23</v>
      </c>
      <c t="s" r="B37">
        <v>93</v>
      </c>
      <c s="31" r="C37">
        <v>1274.63</v>
      </c>
      <c s="31" r="D37">
        <v>1188.01</v>
      </c>
      <c s="31" r="E37">
        <v>1340.04</v>
      </c>
      <c s="31" r="F37">
        <v>1215.20</v>
      </c>
      <c s="30" r="G37">
        <v>934.69</v>
      </c>
      <c s="31" r="H37">
        <v>1052.11</v>
      </c>
      <c s="31" r="I37">
        <v>1266.81</v>
      </c>
      <c s="31" r="J37">
        <v>1172.53</v>
      </c>
      <c s="31" r="K37">
        <v>1279.00</v>
      </c>
      <c s="31" r="L37">
        <v>1309.00</v>
      </c>
    </row>
    <row>
      <c s="28" r="A38">
        <v>24</v>
      </c>
      <c t="s" r="B38">
        <v>94</v>
      </c>
      <c s="31" r="C38">
        <v>1384.96</v>
      </c>
      <c s="31" r="D38">
        <v>1333.64</v>
      </c>
      <c s="31" r="E38">
        <v>1180.76</v>
      </c>
      <c s="30" r="F38">
        <v>850.13</v>
      </c>
      <c s="30" r="G38">
        <v>924.08</v>
      </c>
      <c s="31" r="H38">
        <v>1048.17</v>
      </c>
      <c s="31" r="I38">
        <v>1092.87</v>
      </c>
      <c s="31" r="J38">
        <v>1012.60</v>
      </c>
      <c s="31" r="K38">
        <v>1105.00</v>
      </c>
      <c s="31" r="L38">
        <v>1101.00</v>
      </c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20" t="s" r="B40">
        <v>95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s="28" r="A41">
        <v>25</v>
      </c>
      <c t="s" r="B41">
        <v>96</v>
      </c>
      <c s="29" r="C41">
        <v>33.84</v>
      </c>
      <c s="30" r="D41">
        <v>108.81</v>
      </c>
      <c s="30" r="E41">
        <v>117.08</v>
      </c>
      <c s="29" r="F41">
        <v>82.54</v>
      </c>
      <c s="29" r="G41">
        <v>26.87</v>
      </c>
      <c s="30" r="H41">
        <v>110.56</v>
      </c>
      <c s="29" r="I41">
        <v>59.98</v>
      </c>
      <c s="30" r="J41">
        <v>-52.68</v>
      </c>
      <c s="29" r="K41">
        <v>41.73</v>
      </c>
      <c s="29" r="L41">
        <v>65.45</v>
      </c>
    </row>
    <row>
      <c s="28" r="A42">
        <v>26</v>
      </c>
      <c t="s" r="B42">
        <v>97</v>
      </c>
      <c s="24" r="C42">
        <v>9.20</v>
      </c>
      <c s="29" r="D42">
        <v>30.36</v>
      </c>
      <c s="29" r="E42">
        <v>29.48</v>
      </c>
      <c s="29" r="F42">
        <v>19.81</v>
      </c>
      <c s="24" r="G42">
        <v>6.83</v>
      </c>
      <c s="29" r="H42">
        <v>26.10</v>
      </c>
      <c s="29" r="I42">
        <v>13.16</v>
      </c>
      <c s="30" r="J42">
        <v>-11.40</v>
      </c>
      <c s="29" r="K42">
        <v>10.37</v>
      </c>
      <c s="29" r="L42">
        <v>15.81</v>
      </c>
    </row>
    <row>
      <c s="28" r="A43">
        <v>27</v>
      </c>
      <c t="s" r="B43">
        <v>98</v>
      </c>
      <c s="30" r="C43">
        <v>116.39</v>
      </c>
      <c s="30" r="D43">
        <v>194.18</v>
      </c>
      <c s="30" r="E43">
        <v>209.47</v>
      </c>
      <c s="30" r="F43">
        <v>181.33</v>
      </c>
      <c s="30" r="G43">
        <v>126.52</v>
      </c>
      <c s="30" r="H43">
        <v>232.49</v>
      </c>
      <c s="30" r="I43">
        <v>192.52</v>
      </c>
      <c s="29" r="J43">
        <v>75.06</v>
      </c>
      <c s="30" r="K43">
        <v>167.58</v>
      </c>
      <c s="30" r="L43">
        <v>195.62</v>
      </c>
    </row>
    <row>
      <c s="28" r="A44">
        <v>28</v>
      </c>
      <c t="s" r="B44">
        <v>99</v>
      </c>
      <c s="29" r="C44">
        <v>31.63</v>
      </c>
      <c s="29" r="D44">
        <v>54.18</v>
      </c>
      <c s="29" r="E44">
        <v>52.74</v>
      </c>
      <c s="29" r="F44">
        <v>43.51</v>
      </c>
      <c s="29" r="G44">
        <v>32.18</v>
      </c>
      <c s="29" r="H44">
        <v>54.88</v>
      </c>
      <c s="29" r="I44">
        <v>42.24</v>
      </c>
      <c s="29" r="J44">
        <v>16.24</v>
      </c>
      <c s="29" r="K44">
        <v>41.65</v>
      </c>
      <c s="29" r="L44">
        <v>47.27</v>
      </c>
    </row>
    <row>
      <c s="28" r="A45">
        <v>29</v>
      </c>
      <c t="s" r="B45">
        <v>100</v>
      </c>
      <c s="25" r="C45">
        <v>0.6</v>
      </c>
      <c s="25" r="D45">
        <v>2.0</v>
      </c>
      <c s="25" r="E45">
        <v>1.9</v>
      </c>
      <c s="25" r="F45">
        <v>1.3</v>
      </c>
      <c s="25" r="G45">
        <v>0.4</v>
      </c>
      <c s="25" r="H45">
        <v>1.4</v>
      </c>
      <c s="25" r="I45">
        <v>0.7</v>
      </c>
      <c s="27" r="J45">
        <v>-0.6</v>
      </c>
      <c s="25" r="K45">
        <v>0.5</v>
      </c>
      <c s="25" r="L45">
        <v>0.8</v>
      </c>
    </row>
    <row>
      <c s="28" r="A46">
        <v>30</v>
      </c>
      <c t="s" r="B46">
        <v>101</v>
      </c>
      <c s="28" r="C46">
        <v>77</v>
      </c>
      <c s="28" r="D46">
        <v>76</v>
      </c>
      <c s="28" r="E46">
        <v>73</v>
      </c>
      <c s="28" r="F46">
        <v>73</v>
      </c>
      <c s="28" r="G46">
        <v>74</v>
      </c>
      <c s="28" r="H46">
        <v>75</v>
      </c>
      <c s="28" r="I46">
        <v>71</v>
      </c>
      <c s="28" r="J46">
        <v>71</v>
      </c>
      <c s="28" r="K46">
        <v>72</v>
      </c>
      <c s="28" r="L46">
        <v>72</v>
      </c>
    </row>
    <row>
      <c t="s" r="A47"/>
      <c t="s" r="B47"/>
      <c t="s" r="C47"/>
      <c t="s" r="D47"/>
      <c t="s" r="E47"/>
      <c t="s" r="F47"/>
      <c t="s" r="G47"/>
      <c t="s" r="H47"/>
      <c t="s" r="I47"/>
      <c t="s" r="J47"/>
      <c t="s" r="K47"/>
      <c t="s" r="L47"/>
    </row>
    <row>
      <c t="s" r="A48"/>
      <c s="21" t="s" r="B48">
        <v>102</v>
      </c>
      <c s="32" r="C48">
        <f>_xlfn.HYPERLINK("mailto:econ@beeflambnz.com","econ@beeflambnz.com")</f>
      </c>
      <c t="s" r="D48"/>
      <c t="s" r="E48"/>
      <c s="19" t="s" r="F48">
        <v>54</v>
      </c>
      <c t="s" r="G48"/>
      <c t="s" r="H48"/>
      <c t="s" r="I48"/>
      <c t="s" r="J48"/>
      <c t="s" r="K48"/>
      <c s="21" t="s" r="L48">
        <v>103</v>
      </c>
    </row>
  </sheetData>
  <mergeCells count="1">
    <mergeCell ref="C48:E48"/>
  </mergeCells>
  <hyperlinks>
    <hyperlink ref="L2" location="Notes!A1" display="Notes tab"/>
    <hyperlink ref="F48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104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105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106</v>
      </c>
      <c s="33" r="C8">
        <v>83089</v>
      </c>
      <c s="33" r="D8">
        <v>87406</v>
      </c>
      <c s="34" r="E8">
        <v>104818</v>
      </c>
      <c s="33" r="F8">
        <v>77328</v>
      </c>
      <c s="33" r="G8">
        <v>63478</v>
      </c>
      <c s="33" r="H8">
        <v>65885</v>
      </c>
      <c s="33" r="I8">
        <v>68995</v>
      </c>
      <c s="33" r="J8">
        <v>63795</v>
      </c>
      <c s="33" r="K8">
        <v>61800</v>
      </c>
      <c s="33" r="L8">
        <v>65700</v>
      </c>
    </row>
    <row>
      <c s="22" r="A9">
        <v>2</v>
      </c>
      <c t="s" r="B9">
        <v>107</v>
      </c>
      <c s="34" r="C9">
        <v>307691</v>
      </c>
      <c s="34" r="D9">
        <v>447724</v>
      </c>
      <c s="34" r="E9">
        <v>551232</v>
      </c>
      <c s="34" r="F9">
        <v>517526</v>
      </c>
      <c s="34" r="G9">
        <v>436113</v>
      </c>
      <c s="34" r="H9">
        <v>562314</v>
      </c>
      <c s="34" r="I9">
        <v>500542</v>
      </c>
      <c s="34" r="J9">
        <v>365886</v>
      </c>
      <c s="34" r="K9">
        <v>447100</v>
      </c>
      <c s="34" r="L9">
        <v>468900</v>
      </c>
    </row>
    <row>
      <c s="22" r="A10">
        <v>3</v>
      </c>
      <c t="s" r="B10">
        <v>108</v>
      </c>
      <c s="34" r="C10">
        <v>166686</v>
      </c>
      <c s="34" r="D10">
        <v>196537</v>
      </c>
      <c s="34" r="E10">
        <v>201389</v>
      </c>
      <c s="34" r="F10">
        <v>187300</v>
      </c>
      <c s="34" r="G10">
        <v>159341</v>
      </c>
      <c s="34" r="H10">
        <v>198802</v>
      </c>
      <c s="34" r="I10">
        <v>221247</v>
      </c>
      <c s="34" r="J10">
        <v>189116</v>
      </c>
      <c s="34" r="K10">
        <v>224700</v>
      </c>
      <c s="34" r="L10">
        <v>258000</v>
      </c>
    </row>
    <row>
      <c s="22" r="A11">
        <v>4</v>
      </c>
      <c t="s" r="B11">
        <v>109</v>
      </c>
      <c s="33" r="C11">
        <v>31472</v>
      </c>
      <c s="33" r="D11">
        <v>29063</v>
      </c>
      <c s="33" r="E11">
        <v>25667</v>
      </c>
      <c s="33" r="F11">
        <v>28853</v>
      </c>
      <c s="33" r="G11">
        <v>23188</v>
      </c>
      <c s="33" r="H11">
        <v>27376</v>
      </c>
      <c s="33" r="I11">
        <v>33179</v>
      </c>
      <c s="33" r="J11">
        <v>19168</v>
      </c>
      <c s="33" r="K11">
        <v>29600</v>
      </c>
      <c s="33" r="L11">
        <v>31200</v>
      </c>
    </row>
    <row>
      <c s="22" r="A12">
        <v>5</v>
      </c>
      <c t="s" r="B12">
        <v>110</v>
      </c>
      <c s="23" r="C12">
        <v>6799</v>
      </c>
      <c s="23" r="D12">
        <v>4274</v>
      </c>
      <c s="23" r="E12">
        <v>4758</v>
      </c>
      <c s="23" r="F12">
        <v>2950</v>
      </c>
      <c s="23" r="G12">
        <v>1996</v>
      </c>
      <c s="23" r="H12">
        <v>2850</v>
      </c>
      <c s="23" r="I12">
        <v>2672</v>
      </c>
      <c s="23" r="J12">
        <v>2994</v>
      </c>
      <c s="23" r="K12">
        <v>1900</v>
      </c>
      <c s="23" r="L12">
        <v>3200</v>
      </c>
    </row>
    <row>
      <c s="22" r="A13">
        <v>6</v>
      </c>
      <c t="s" r="B13">
        <v>111</v>
      </c>
      <c s="35" r="C13">
        <v>579</v>
      </c>
      <c s="33" r="D13">
        <v>11237</v>
      </c>
      <c s="33" r="E13">
        <v>24644</v>
      </c>
      <c s="33" r="F13">
        <v>18953</v>
      </c>
      <c s="35" r="G13">
        <v>686</v>
      </c>
      <c s="35" r="H13">
        <v>806</v>
      </c>
      <c t="s" r="I13"/>
      <c s="23" r="J13">
        <v>1012</v>
      </c>
      <c s="23" r="K13">
        <v>1000</v>
      </c>
      <c s="23" r="L13">
        <v>1000</v>
      </c>
    </row>
    <row>
      <c s="22" r="A14">
        <v>7</v>
      </c>
      <c t="s" r="B14">
        <v>112</v>
      </c>
      <c s="33" r="C14">
        <v>35759</v>
      </c>
      <c s="33" r="D14">
        <v>22899</v>
      </c>
      <c s="33" r="E14">
        <v>18658</v>
      </c>
      <c s="33" r="F14">
        <v>21998</v>
      </c>
      <c s="33" r="G14">
        <v>19851</v>
      </c>
      <c s="33" r="H14">
        <v>21783</v>
      </c>
      <c s="33" r="I14">
        <v>23646</v>
      </c>
      <c s="33" r="J14">
        <v>26450</v>
      </c>
      <c s="33" r="K14">
        <v>26600</v>
      </c>
      <c s="33" r="L14">
        <v>26800</v>
      </c>
    </row>
    <row>
      <c s="36" r="A15">
        <v>8</v>
      </c>
      <c s="20" t="s" r="B15">
        <v>113</v>
      </c>
      <c s="37" r="C15">
        <v>632075</v>
      </c>
      <c s="37" r="D15">
        <v>799140</v>
      </c>
      <c s="37" r="E15">
        <v>931166</v>
      </c>
      <c s="37" r="F15">
        <v>854908</v>
      </c>
      <c s="37" r="G15">
        <v>704653</v>
      </c>
      <c s="37" r="H15">
        <v>879816</v>
      </c>
      <c s="37" r="I15">
        <v>850281</v>
      </c>
      <c s="37" r="J15">
        <v>668421</v>
      </c>
      <c s="37" r="K15">
        <v>792700</v>
      </c>
      <c s="37" r="L15">
        <v>854800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114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33" r="C18">
        <v>48701</v>
      </c>
      <c s="33" r="D18">
        <v>53989</v>
      </c>
      <c s="33" r="E18">
        <v>67740</v>
      </c>
      <c s="33" r="F18">
        <v>69364</v>
      </c>
      <c s="33" r="G18">
        <v>59718</v>
      </c>
      <c s="33" r="H18">
        <v>64837</v>
      </c>
      <c s="33" r="I18">
        <v>74005</v>
      </c>
      <c s="33" r="J18">
        <v>74167</v>
      </c>
      <c s="33" r="K18">
        <v>75700</v>
      </c>
      <c s="33" r="L18">
        <v>77200</v>
      </c>
    </row>
    <row>
      <c s="28" r="A19">
        <v>10</v>
      </c>
      <c t="s" r="B19">
        <v>116</v>
      </c>
      <c s="33" r="C19">
        <v>31265</v>
      </c>
      <c s="33" r="D19">
        <v>35453</v>
      </c>
      <c s="33" r="E19">
        <v>40259</v>
      </c>
      <c s="33" r="F19">
        <v>41245</v>
      </c>
      <c s="33" r="G19">
        <v>38829</v>
      </c>
      <c s="33" r="H19">
        <v>43546</v>
      </c>
      <c s="33" r="I19">
        <v>47772</v>
      </c>
      <c s="33" r="J19">
        <v>44114</v>
      </c>
      <c s="33" r="K19">
        <v>40800</v>
      </c>
      <c s="33" r="L19">
        <v>42100</v>
      </c>
    </row>
    <row>
      <c s="28" r="A20">
        <v>11</v>
      </c>
      <c t="s" r="B20">
        <v>117</v>
      </c>
      <c s="33" r="C20">
        <v>25609</v>
      </c>
      <c s="33" r="D20">
        <v>26594</v>
      </c>
      <c s="33" r="E20">
        <v>34649</v>
      </c>
      <c s="33" r="F20">
        <v>26254</v>
      </c>
      <c s="33" r="G20">
        <v>23154</v>
      </c>
      <c s="33" r="H20">
        <v>26503</v>
      </c>
      <c s="33" r="I20">
        <v>25685</v>
      </c>
      <c s="33" r="J20">
        <v>21321</v>
      </c>
      <c s="33" r="K20">
        <v>21100</v>
      </c>
      <c s="33" r="L20">
        <v>21500</v>
      </c>
    </row>
    <row>
      <c s="28" r="A21">
        <v>12</v>
      </c>
      <c t="s" r="B21">
        <v>118</v>
      </c>
      <c s="33" r="C21">
        <v>30638</v>
      </c>
      <c s="33" r="D21">
        <v>34487</v>
      </c>
      <c s="33" r="E21">
        <v>43395</v>
      </c>
      <c s="33" r="F21">
        <v>40282</v>
      </c>
      <c s="33" r="G21">
        <v>40276</v>
      </c>
      <c s="33" r="H21">
        <v>41619</v>
      </c>
      <c s="33" r="I21">
        <v>50852</v>
      </c>
      <c s="33" r="J21">
        <v>46252</v>
      </c>
      <c s="33" r="K21">
        <v>41600</v>
      </c>
      <c s="33" r="L21">
        <v>41900</v>
      </c>
    </row>
    <row>
      <c s="28" r="A22">
        <v>13</v>
      </c>
      <c t="s" r="B22">
        <v>119</v>
      </c>
      <c s="33" r="C22">
        <v>64171</v>
      </c>
      <c s="33" r="D22">
        <v>61105</v>
      </c>
      <c s="33" r="E22">
        <v>69419</v>
      </c>
      <c s="33" r="F22">
        <v>70493</v>
      </c>
      <c s="33" r="G22">
        <v>54308</v>
      </c>
      <c s="33" r="H22">
        <v>71026</v>
      </c>
      <c s="33" r="I22">
        <v>58992</v>
      </c>
      <c s="33" r="J22">
        <v>53771</v>
      </c>
      <c s="33" r="K22">
        <v>59700</v>
      </c>
      <c s="33" r="L22">
        <v>70900</v>
      </c>
    </row>
    <row>
      <c s="28" r="A23">
        <v>14</v>
      </c>
      <c t="s" r="B23">
        <v>120</v>
      </c>
      <c s="23" r="C23">
        <v>4826</v>
      </c>
      <c s="23" r="D23">
        <v>6379</v>
      </c>
      <c s="23" r="E23">
        <v>4106</v>
      </c>
      <c s="23" r="F23">
        <v>6480</v>
      </c>
      <c s="23" r="G23">
        <v>2339</v>
      </c>
      <c s="23" r="H23">
        <v>3042</v>
      </c>
      <c s="23" r="I23">
        <v>3641</v>
      </c>
      <c s="23" r="J23">
        <v>1269</v>
      </c>
      <c s="23" r="K23">
        <v>2400</v>
      </c>
      <c s="23" r="L23">
        <v>2800</v>
      </c>
    </row>
    <row>
      <c s="28" r="A24">
        <v>15</v>
      </c>
      <c t="s" r="B24">
        <v>121</v>
      </c>
      <c s="33" r="C24">
        <v>16341</v>
      </c>
      <c s="33" r="D24">
        <v>16731</v>
      </c>
      <c s="33" r="E24">
        <v>15333</v>
      </c>
      <c s="33" r="F24">
        <v>17713</v>
      </c>
      <c s="33" r="G24">
        <v>17973</v>
      </c>
      <c s="33" r="H24">
        <v>16585</v>
      </c>
      <c s="33" r="I24">
        <v>18784</v>
      </c>
      <c s="33" r="J24">
        <v>17578</v>
      </c>
      <c s="33" r="K24">
        <v>17200</v>
      </c>
      <c s="33" r="L24">
        <v>17600</v>
      </c>
    </row>
    <row>
      <c s="28" r="A25">
        <v>16</v>
      </c>
      <c t="s" r="B25">
        <v>122</v>
      </c>
      <c s="33" r="C25">
        <v>16179</v>
      </c>
      <c s="33" r="D25">
        <v>18400</v>
      </c>
      <c s="33" r="E25">
        <v>20537</v>
      </c>
      <c s="33" r="F25">
        <v>19141</v>
      </c>
      <c s="33" r="G25">
        <v>19511</v>
      </c>
      <c s="33" r="H25">
        <v>18658</v>
      </c>
      <c s="33" r="I25">
        <v>20173</v>
      </c>
      <c s="33" r="J25">
        <v>20135</v>
      </c>
      <c s="33" r="K25">
        <v>20500</v>
      </c>
      <c s="33" r="L25">
        <v>20900</v>
      </c>
    </row>
    <row>
      <c s="28" r="A26">
        <v>17</v>
      </c>
      <c t="s" r="B26">
        <v>123</v>
      </c>
      <c s="33" r="C26">
        <v>12836</v>
      </c>
      <c s="33" r="D26">
        <v>14752</v>
      </c>
      <c s="33" r="E26">
        <v>18305</v>
      </c>
      <c s="33" r="F26">
        <v>17164</v>
      </c>
      <c s="33" r="G26">
        <v>12870</v>
      </c>
      <c s="33" r="H26">
        <v>21079</v>
      </c>
      <c s="33" r="I26">
        <v>23359</v>
      </c>
      <c s="33" r="J26">
        <v>22834</v>
      </c>
      <c s="33" r="K26">
        <v>23100</v>
      </c>
      <c s="33" r="L26">
        <v>23500</v>
      </c>
    </row>
    <row>
      <c s="28" r="A27">
        <v>18</v>
      </c>
      <c t="s" r="B27">
        <v>124</v>
      </c>
      <c s="23" r="C27">
        <v>3793</v>
      </c>
      <c s="23" r="D27">
        <v>4401</v>
      </c>
      <c s="23" r="E27">
        <v>6145</v>
      </c>
      <c s="23" r="F27">
        <v>5190</v>
      </c>
      <c s="23" r="G27">
        <v>4897</v>
      </c>
      <c s="23" r="H27">
        <v>4815</v>
      </c>
      <c s="23" r="I27">
        <v>4956</v>
      </c>
      <c s="23" r="J27">
        <v>5504</v>
      </c>
      <c s="23" r="K27">
        <v>5900</v>
      </c>
      <c s="23" r="L27">
        <v>6000</v>
      </c>
    </row>
    <row>
      <c s="28" r="A28">
        <v>19</v>
      </c>
      <c t="s" r="B28">
        <v>125</v>
      </c>
      <c s="33" r="C28">
        <v>44445</v>
      </c>
      <c s="33" r="D28">
        <v>25560</v>
      </c>
      <c s="33" r="E28">
        <v>32660</v>
      </c>
      <c s="33" r="F28">
        <v>30902</v>
      </c>
      <c s="33" r="G28">
        <v>31099</v>
      </c>
      <c s="33" r="H28">
        <v>35375</v>
      </c>
      <c s="33" r="I28">
        <v>26868</v>
      </c>
      <c s="33" r="J28">
        <v>44486</v>
      </c>
      <c s="33" r="K28">
        <v>27700</v>
      </c>
      <c s="33" r="L28">
        <v>28200</v>
      </c>
    </row>
    <row>
      <c s="28" r="A29">
        <v>20</v>
      </c>
      <c t="s" r="B29">
        <v>126</v>
      </c>
      <c t="s" r="C29"/>
      <c t="s" r="D29"/>
      <c t="s" r="E29"/>
      <c s="23" r="F29">
        <v>5054</v>
      </c>
      <c s="23" r="G29">
        <v>5374</v>
      </c>
      <c s="23" r="H29">
        <v>6281</v>
      </c>
      <c s="23" r="I29">
        <v>7145</v>
      </c>
      <c s="23" r="J29">
        <v>6707</v>
      </c>
      <c s="23" r="K29">
        <v>6800</v>
      </c>
      <c s="23" r="L29">
        <v>7000</v>
      </c>
    </row>
    <row>
      <c s="28" r="A30">
        <v>21</v>
      </c>
      <c t="s" r="B30">
        <v>127</v>
      </c>
      <c s="23" r="C30">
        <v>4487</v>
      </c>
      <c s="23" r="D30">
        <v>6202</v>
      </c>
      <c s="23" r="E30">
        <v>9776</v>
      </c>
      <c s="33" r="F30">
        <v>13145</v>
      </c>
      <c s="33" r="G30">
        <v>12309</v>
      </c>
      <c s="23" r="H30">
        <v>8981</v>
      </c>
      <c s="33" r="I30">
        <v>10578</v>
      </c>
      <c s="33" r="J30">
        <v>14744</v>
      </c>
      <c s="33" r="K30">
        <v>11200</v>
      </c>
      <c s="33" r="L30">
        <v>11400</v>
      </c>
    </row>
    <row>
      <c s="28" r="A31">
        <v>22</v>
      </c>
      <c t="s" r="B31">
        <v>128</v>
      </c>
      <c s="23" r="C31">
        <v>7974</v>
      </c>
      <c s="33" r="D31">
        <v>13933</v>
      </c>
      <c s="33" r="E31">
        <v>13787</v>
      </c>
      <c s="33" r="F31">
        <v>12419</v>
      </c>
      <c s="33" r="G31">
        <v>15971</v>
      </c>
      <c s="33" r="H31">
        <v>15957</v>
      </c>
      <c s="33" r="I31">
        <v>18828</v>
      </c>
      <c s="33" r="J31">
        <v>21963</v>
      </c>
      <c s="33" r="K31">
        <v>22600</v>
      </c>
      <c s="33" r="L31">
        <v>23100</v>
      </c>
    </row>
    <row>
      <c s="28" r="A32">
        <v>23</v>
      </c>
      <c t="s" r="B32">
        <v>129</v>
      </c>
      <c t="s" r="C32"/>
      <c s="35" r="D32">
        <v>272</v>
      </c>
      <c s="33" r="E32">
        <v>13444</v>
      </c>
      <c s="23" r="F32">
        <v>4286</v>
      </c>
      <c t="s" r="G32"/>
      <c t="s" r="H32"/>
      <c t="s" r="I32"/>
      <c t="s" r="J32"/>
      <c t="s" r="K32"/>
      <c t="s" r="L32"/>
    </row>
    <row>
      <c s="28" r="A33">
        <v>24</v>
      </c>
      <c t="s" r="B33">
        <v>130</v>
      </c>
      <c s="33" r="C33">
        <v>39860</v>
      </c>
      <c s="33" r="D33">
        <v>43148</v>
      </c>
      <c s="33" r="E33">
        <v>58551</v>
      </c>
      <c s="33" r="F33">
        <v>50643</v>
      </c>
      <c s="33" r="G33">
        <v>40535</v>
      </c>
      <c s="33" r="H33">
        <v>50145</v>
      </c>
      <c s="33" r="I33">
        <v>52667</v>
      </c>
      <c s="33" r="J33">
        <v>37161</v>
      </c>
      <c s="33" r="K33">
        <v>42500</v>
      </c>
      <c s="33" r="L33">
        <v>43400</v>
      </c>
    </row>
    <row>
      <c s="28" r="A34">
        <v>25</v>
      </c>
      <c t="s" r="B34">
        <v>131</v>
      </c>
      <c s="23" r="C34">
        <v>7425</v>
      </c>
      <c s="23" r="D34">
        <v>8052</v>
      </c>
      <c s="23" r="E34">
        <v>8549</v>
      </c>
      <c s="23" r="F34">
        <v>8207</v>
      </c>
      <c s="23" r="G34">
        <v>7581</v>
      </c>
      <c s="23" r="H34">
        <v>9429</v>
      </c>
      <c s="23" r="I34">
        <v>8651</v>
      </c>
      <c s="23" r="J34">
        <v>8338</v>
      </c>
      <c s="23" r="K34">
        <v>8600</v>
      </c>
      <c s="23" r="L34">
        <v>8800</v>
      </c>
    </row>
    <row>
      <c s="28" r="A35">
        <v>26</v>
      </c>
      <c t="s" r="B35">
        <v>132</v>
      </c>
      <c s="33" r="C35">
        <v>16429</v>
      </c>
      <c s="33" r="D35">
        <v>16441</v>
      </c>
      <c s="33" r="E35">
        <v>23202</v>
      </c>
      <c s="33" r="F35">
        <v>20194</v>
      </c>
      <c s="33" r="G35">
        <v>17812</v>
      </c>
      <c s="33" r="H35">
        <v>21078</v>
      </c>
      <c s="33" r="I35">
        <v>23895</v>
      </c>
      <c s="33" r="J35">
        <v>21900</v>
      </c>
      <c s="33" r="K35">
        <v>22800</v>
      </c>
      <c s="33" r="L35">
        <v>23100</v>
      </c>
    </row>
    <row>
      <c s="38" r="A36">
        <v>27</v>
      </c>
      <c s="20" t="s" r="B36">
        <v>133</v>
      </c>
      <c s="37" r="C36">
        <v>374979</v>
      </c>
      <c s="37" r="D36">
        <v>385899</v>
      </c>
      <c s="37" r="E36">
        <v>479857</v>
      </c>
      <c s="37" r="F36">
        <v>458176</v>
      </c>
      <c s="37" r="G36">
        <v>404556</v>
      </c>
      <c s="37" r="H36">
        <v>458956</v>
      </c>
      <c s="37" r="I36">
        <v>476851</v>
      </c>
      <c s="37" r="J36">
        <v>462244</v>
      </c>
      <c s="37" r="K36">
        <v>450200</v>
      </c>
      <c s="37" r="L36">
        <v>469400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8" r="A38">
        <v>28</v>
      </c>
      <c t="s" r="B38">
        <v>134</v>
      </c>
      <c s="33" r="C38">
        <v>10381</v>
      </c>
      <c s="33" r="D38">
        <v>13438</v>
      </c>
      <c s="33" r="E38">
        <v>14716</v>
      </c>
      <c s="33" r="F38">
        <v>14827</v>
      </c>
      <c s="33" r="G38">
        <v>15475</v>
      </c>
      <c s="33" r="H38">
        <v>15186</v>
      </c>
      <c s="33" r="I38">
        <v>18789</v>
      </c>
      <c s="33" r="J38">
        <v>20390</v>
      </c>
      <c s="33" r="K38">
        <v>24600</v>
      </c>
      <c s="33" r="L38">
        <v>25100</v>
      </c>
    </row>
    <row>
      <c s="28" r="A39">
        <v>29</v>
      </c>
      <c t="s" r="B39">
        <v>135</v>
      </c>
      <c s="23" r="C39">
        <v>3476</v>
      </c>
      <c s="23" r="D39">
        <v>3226</v>
      </c>
      <c s="23" r="E39">
        <v>4278</v>
      </c>
      <c s="23" r="F39">
        <v>2954</v>
      </c>
      <c s="23" r="G39">
        <v>4789</v>
      </c>
      <c s="23" r="H39">
        <v>3332</v>
      </c>
      <c s="23" r="I39">
        <v>3246</v>
      </c>
      <c s="23" r="J39">
        <v>3950</v>
      </c>
      <c s="23" r="K39">
        <v>4000</v>
      </c>
      <c s="23" r="L39">
        <v>4100</v>
      </c>
    </row>
    <row>
      <c s="28" r="A40">
        <v>30</v>
      </c>
      <c t="s" r="B40">
        <v>136</v>
      </c>
      <c s="33" r="C40">
        <v>13932</v>
      </c>
      <c s="33" r="D40">
        <v>12264</v>
      </c>
      <c s="33" r="E40">
        <v>14762</v>
      </c>
      <c s="33" r="F40">
        <v>16311</v>
      </c>
      <c s="33" r="G40">
        <v>15902</v>
      </c>
      <c s="33" r="H40">
        <v>17306</v>
      </c>
      <c s="33" r="I40">
        <v>19355</v>
      </c>
      <c s="33" r="J40">
        <v>19678</v>
      </c>
      <c s="33" r="K40">
        <v>21600</v>
      </c>
      <c s="33" r="L40">
        <v>22100</v>
      </c>
    </row>
    <row>
      <c s="28" r="A41">
        <v>31</v>
      </c>
      <c t="s" r="B41">
        <v>137</v>
      </c>
      <c s="23" r="C41">
        <v>7731</v>
      </c>
      <c s="23" r="D41">
        <v>6138</v>
      </c>
      <c s="33" r="E41">
        <v>11443</v>
      </c>
      <c s="23" r="F41">
        <v>9710</v>
      </c>
      <c s="23" r="G41">
        <v>8126</v>
      </c>
      <c s="23" r="H41">
        <v>7950</v>
      </c>
      <c s="23" r="I41">
        <v>5526</v>
      </c>
      <c s="23" r="J41">
        <v>5343</v>
      </c>
      <c s="23" r="K41">
        <v>5500</v>
      </c>
      <c s="23" r="L41">
        <v>5600</v>
      </c>
    </row>
    <row>
      <c s="28" r="A42">
        <v>32</v>
      </c>
      <c t="s" r="B42">
        <v>138</v>
      </c>
      <c s="33" r="C42">
        <v>51123</v>
      </c>
      <c s="33" r="D42">
        <v>57565</v>
      </c>
      <c s="33" r="E42">
        <v>70883</v>
      </c>
      <c s="33" r="F42">
        <v>76669</v>
      </c>
      <c s="33" r="G42">
        <v>56738</v>
      </c>
      <c s="33" r="H42">
        <v>57492</v>
      </c>
      <c s="34" r="I42">
        <v>105127</v>
      </c>
      <c s="34" r="J42">
        <v>129890</v>
      </c>
      <c s="34" r="K42">
        <v>119900</v>
      </c>
      <c s="34" r="L42">
        <v>109300</v>
      </c>
    </row>
    <row>
      <c s="28" r="A43">
        <v>33</v>
      </c>
      <c t="s" r="B43">
        <v>139</v>
      </c>
      <c s="33" r="C43">
        <v>14775</v>
      </c>
      <c s="33" r="D43">
        <v>21240</v>
      </c>
      <c s="33" r="E43">
        <v>23146</v>
      </c>
      <c s="33" r="F43">
        <v>22503</v>
      </c>
      <c s="33" r="G43">
        <v>13797</v>
      </c>
      <c s="33" r="H43">
        <v>20072</v>
      </c>
      <c s="33" r="I43">
        <v>24251</v>
      </c>
      <c s="33" r="J43">
        <v>35565</v>
      </c>
      <c s="33" r="K43">
        <v>36300</v>
      </c>
      <c s="33" r="L43">
        <v>37000</v>
      </c>
    </row>
    <row>
      <c s="38" r="A44">
        <v>34</v>
      </c>
      <c s="20" t="s" r="B44">
        <v>140</v>
      </c>
      <c s="37" r="C44">
        <v>101418</v>
      </c>
      <c s="37" r="D44">
        <v>113871</v>
      </c>
      <c s="37" r="E44">
        <v>139228</v>
      </c>
      <c s="37" r="F44">
        <v>142974</v>
      </c>
      <c s="37" r="G44">
        <v>114827</v>
      </c>
      <c s="37" r="H44">
        <v>121338</v>
      </c>
      <c s="37" r="I44">
        <v>176294</v>
      </c>
      <c s="37" r="J44">
        <v>214816</v>
      </c>
      <c s="37" r="K44">
        <v>211900</v>
      </c>
      <c s="37" r="L44">
        <v>203200</v>
      </c>
    </row>
    <row>
      <c s="38" r="A45">
        <v>35</v>
      </c>
      <c s="20" t="s" r="B45">
        <v>141</v>
      </c>
      <c s="37" r="C45">
        <v>476397</v>
      </c>
      <c s="37" r="D45">
        <v>499770</v>
      </c>
      <c s="37" r="E45">
        <v>619085</v>
      </c>
      <c s="37" r="F45">
        <v>601150</v>
      </c>
      <c s="37" r="G45">
        <v>519383</v>
      </c>
      <c s="37" r="H45">
        <v>580294</v>
      </c>
      <c s="37" r="I45">
        <v>653145</v>
      </c>
      <c s="37" r="J45">
        <v>677060</v>
      </c>
      <c s="37" r="K45">
        <v>662100</v>
      </c>
      <c s="37" r="L45">
        <v>672600</v>
      </c>
    </row>
    <row>
      <c s="28" r="A46">
        <v>36</v>
      </c>
      <c t="s" r="B46">
        <v>142</v>
      </c>
      <c s="33" r="C46">
        <v>36173</v>
      </c>
      <c s="33" r="D46">
        <v>44568</v>
      </c>
      <c s="33" r="E46">
        <v>56709</v>
      </c>
      <c s="33" r="F46">
        <v>63522</v>
      </c>
      <c s="33" r="G46">
        <v>53747</v>
      </c>
      <c s="33" r="H46">
        <v>48346</v>
      </c>
      <c s="33" r="I46">
        <v>50827</v>
      </c>
      <c s="33" r="J46">
        <v>50527</v>
      </c>
      <c s="33" r="K46">
        <v>49500</v>
      </c>
      <c s="33" r="L46">
        <v>51500</v>
      </c>
    </row>
    <row>
      <c s="38" r="A47">
        <v>37</v>
      </c>
      <c s="20" t="s" r="B47">
        <v>143</v>
      </c>
      <c s="37" r="C47">
        <v>512570</v>
      </c>
      <c s="37" r="D47">
        <v>544338</v>
      </c>
      <c s="37" r="E47">
        <v>675794</v>
      </c>
      <c s="37" r="F47">
        <v>664672</v>
      </c>
      <c s="37" r="G47">
        <v>573130</v>
      </c>
      <c s="37" r="H47">
        <v>628640</v>
      </c>
      <c s="37" r="I47">
        <v>703972</v>
      </c>
      <c s="37" r="J47">
        <v>727587</v>
      </c>
      <c s="37" r="K47">
        <v>711600</v>
      </c>
      <c s="37" r="L47">
        <v>724100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8" r="A49">
        <v>38</v>
      </c>
      <c s="20" t="s" r="B49">
        <v>144</v>
      </c>
      <c s="37" r="C49">
        <v>119505</v>
      </c>
      <c s="37" r="D49">
        <v>254802</v>
      </c>
      <c s="37" r="E49">
        <v>255372</v>
      </c>
      <c s="37" r="F49">
        <v>190236</v>
      </c>
      <c s="37" r="G49">
        <v>131523</v>
      </c>
      <c s="37" r="H49">
        <v>251176</v>
      </c>
      <c s="37" r="I49">
        <v>146309</v>
      </c>
      <c s="37" r="J49">
        <v>-59166</v>
      </c>
      <c s="39" r="K49">
        <v>81100</v>
      </c>
      <c s="37" r="L49">
        <v>130700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2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145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146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147</v>
      </c>
      <c s="29" r="C8">
        <v>22.91</v>
      </c>
      <c s="29" r="D8">
        <v>20.54</v>
      </c>
      <c s="29" r="E8">
        <v>23.55</v>
      </c>
      <c s="29" r="F8">
        <v>17.24</v>
      </c>
      <c s="29" r="G8">
        <v>15.04</v>
      </c>
      <c s="29" r="H8">
        <v>16.64</v>
      </c>
      <c s="29" r="I8">
        <v>16.05</v>
      </c>
      <c s="29" r="J8">
        <v>14.25</v>
      </c>
      <c s="29" r="K8">
        <v>16.36</v>
      </c>
      <c s="29" r="L8">
        <v>17.50</v>
      </c>
    </row>
    <row>
      <c s="22" r="A9">
        <v>2</v>
      </c>
      <c t="s" r="B9">
        <v>148</v>
      </c>
      <c s="29" r="C9">
        <v>84.86</v>
      </c>
      <c s="30" r="D9">
        <v>105.22</v>
      </c>
      <c s="30" r="E9">
        <v>123.84</v>
      </c>
      <c s="30" r="F9">
        <v>115.36</v>
      </c>
      <c s="30" r="G9">
        <v>103.34</v>
      </c>
      <c s="30" r="H9">
        <v>142.03</v>
      </c>
      <c s="30" r="I9">
        <v>116.46</v>
      </c>
      <c s="29" r="J9">
        <v>81.71</v>
      </c>
      <c s="30" r="K9">
        <v>118.34</v>
      </c>
      <c s="30" r="L9">
        <v>124.91</v>
      </c>
    </row>
    <row>
      <c s="22" r="A10">
        <v>3</v>
      </c>
      <c t="s" r="B10">
        <v>149</v>
      </c>
      <c s="30" r="C10">
        <v>107.77</v>
      </c>
      <c s="30" r="D10">
        <v>125.76</v>
      </c>
      <c s="30" r="E10">
        <v>147.39</v>
      </c>
      <c s="26" r="F10">
        <v>132.6</v>
      </c>
      <c s="30" r="G10">
        <v>118.38</v>
      </c>
      <c s="30" r="H10">
        <v>158.67</v>
      </c>
      <c s="30" r="I10">
        <v>132.51</v>
      </c>
      <c s="29" r="J10">
        <v>95.96</v>
      </c>
      <c s="26" r="K10">
        <v>134.7</v>
      </c>
      <c s="30" r="L10">
        <v>142.41</v>
      </c>
    </row>
    <row>
      <c s="22" r="A11">
        <v>4</v>
      </c>
      <c s="40" t="s" r="B11">
        <v>150</v>
      </c>
      <c s="24" r="C11">
        <v>8.45</v>
      </c>
      <c s="24" r="D11">
        <v>8.11</v>
      </c>
      <c s="24" r="E11">
        <v>9.75</v>
      </c>
      <c s="24" r="F11">
        <v>8.98</v>
      </c>
      <c s="24" r="G11">
        <v>9.54</v>
      </c>
      <c s="29" r="H11">
        <v>10.51</v>
      </c>
      <c s="29" r="I11">
        <v>11.83</v>
      </c>
      <c s="29" r="J11">
        <v>10.33</v>
      </c>
      <c s="29" r="K11">
        <v>11.01</v>
      </c>
      <c s="29" r="L11">
        <v>11.16</v>
      </c>
    </row>
    <row>
      <c s="22" r="A12">
        <v>5</v>
      </c>
      <c t="s" r="B12">
        <v>151</v>
      </c>
      <c s="29" r="C12">
        <v>86.55</v>
      </c>
      <c s="30" r="D12">
        <v>117.41</v>
      </c>
      <c s="30" r="E12">
        <v>103.92</v>
      </c>
      <c s="29" r="F12">
        <v>93.79</v>
      </c>
      <c s="29" r="G12">
        <v>82.86</v>
      </c>
      <c s="30" r="H12">
        <v>105.58</v>
      </c>
      <c s="30" r="I12">
        <v>108.03</v>
      </c>
      <c s="29" r="J12">
        <v>96.10</v>
      </c>
      <c s="30" r="K12">
        <v>124.08</v>
      </c>
      <c s="30" r="L12">
        <v>132.44</v>
      </c>
    </row>
    <row>
      <c s="22" r="A13">
        <v>6</v>
      </c>
      <c t="s" r="B13">
        <v>152</v>
      </c>
      <c s="30" r="C13">
        <v>211.22</v>
      </c>
      <c s="30" r="D13">
        <v>128.60</v>
      </c>
      <c s="30" r="E13">
        <v>175.80</v>
      </c>
      <c s="30" r="F13">
        <v>246.61</v>
      </c>
      <c s="30" r="G13">
        <v>216.71</v>
      </c>
      <c s="30" r="H13">
        <v>188.80</v>
      </c>
      <c s="30" r="I13">
        <v>221.19</v>
      </c>
      <c s="30" r="J13">
        <v>215.37</v>
      </c>
      <c s="30" r="K13">
        <v>252.99</v>
      </c>
      <c s="30" r="L13">
        <v>226.09</v>
      </c>
    </row>
    <row>
      <c s="22" r="A14">
        <v>7</v>
      </c>
      <c t="s" r="B14">
        <v>153</v>
      </c>
      <c s="29" r="C14">
        <v>57.13</v>
      </c>
      <c s="30" r="D14">
        <v>137.87</v>
      </c>
      <c s="30" r="E14">
        <v>158.60</v>
      </c>
      <c s="29" r="F14">
        <v>92.19</v>
      </c>
      <c s="29" r="G14">
        <v>66.53</v>
      </c>
      <c s="29" r="H14">
        <v>83.82</v>
      </c>
      <c s="30" r="I14">
        <v>140.63</v>
      </c>
      <c s="30" r="J14">
        <v>166.33</v>
      </c>
      <c s="30" r="K14">
        <v>173.45</v>
      </c>
      <c s="30" r="L14">
        <v>160.55</v>
      </c>
    </row>
    <row>
      <c s="36" r="A15">
        <v>8</v>
      </c>
      <c s="20" t="s" r="B15">
        <v>154</v>
      </c>
      <c s="41" r="C15">
        <v>107.83</v>
      </c>
      <c s="41" r="D15">
        <v>129.79</v>
      </c>
      <c s="41" r="E15">
        <v>140.55</v>
      </c>
      <c s="41" r="F15">
        <v>128.54</v>
      </c>
      <c s="41" r="G15">
        <v>112.22</v>
      </c>
      <c s="41" r="H15">
        <v>146.88</v>
      </c>
      <c s="41" r="I15">
        <v>130.27</v>
      </c>
      <c s="41" r="J15">
        <v>102.11</v>
      </c>
      <c s="41" r="K15">
        <v>139.14</v>
      </c>
      <c s="41" r="L15">
        <v>145.87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155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24" r="C18">
        <v>8.31</v>
      </c>
      <c s="24" r="D18">
        <v>8.77</v>
      </c>
      <c s="29" r="E18">
        <v>10.22</v>
      </c>
      <c s="29" r="F18">
        <v>10.43</v>
      </c>
      <c s="24" r="G18">
        <v>9.51</v>
      </c>
      <c s="29" r="H18">
        <v>10.82</v>
      </c>
      <c s="29" r="I18">
        <v>11.34</v>
      </c>
      <c s="29" r="J18">
        <v>11.33</v>
      </c>
      <c s="29" r="K18">
        <v>13.29</v>
      </c>
      <c s="29" r="L18">
        <v>13.17</v>
      </c>
    </row>
    <row>
      <c s="28" r="A19">
        <v>10</v>
      </c>
      <c t="s" r="B19">
        <v>116</v>
      </c>
      <c s="24" r="C19">
        <v>5.33</v>
      </c>
      <c s="24" r="D19">
        <v>5.76</v>
      </c>
      <c s="24" r="E19">
        <v>6.08</v>
      </c>
      <c s="24" r="F19">
        <v>6.20</v>
      </c>
      <c s="24" r="G19">
        <v>6.18</v>
      </c>
      <c s="24" r="H19">
        <v>7.27</v>
      </c>
      <c s="24" r="I19">
        <v>7.32</v>
      </c>
      <c s="24" r="J19">
        <v>6.74</v>
      </c>
      <c s="24" r="K19">
        <v>7.16</v>
      </c>
      <c s="24" r="L19">
        <v>7.18</v>
      </c>
    </row>
    <row>
      <c s="28" r="A20">
        <v>11</v>
      </c>
      <c t="s" r="B20">
        <v>117</v>
      </c>
      <c s="24" r="C20">
        <v>4.37</v>
      </c>
      <c s="24" r="D20">
        <v>4.32</v>
      </c>
      <c s="24" r="E20">
        <v>5.23</v>
      </c>
      <c s="24" r="F20">
        <v>3.95</v>
      </c>
      <c s="24" r="G20">
        <v>3.69</v>
      </c>
      <c s="24" r="H20">
        <v>4.42</v>
      </c>
      <c s="24" r="I20">
        <v>3.94</v>
      </c>
      <c s="24" r="J20">
        <v>3.26</v>
      </c>
      <c s="24" r="K20">
        <v>3.70</v>
      </c>
      <c s="24" r="L20">
        <v>3.67</v>
      </c>
    </row>
    <row>
      <c s="28" r="A21">
        <v>12</v>
      </c>
      <c t="s" r="B21">
        <v>118</v>
      </c>
      <c s="24" r="C21">
        <v>5.23</v>
      </c>
      <c s="24" r="D21">
        <v>5.60</v>
      </c>
      <c s="24" r="E21">
        <v>6.55</v>
      </c>
      <c s="24" r="F21">
        <v>6.06</v>
      </c>
      <c s="24" r="G21">
        <v>6.41</v>
      </c>
      <c s="24" r="H21">
        <v>6.95</v>
      </c>
      <c s="24" r="I21">
        <v>7.79</v>
      </c>
      <c s="24" r="J21">
        <v>7.07</v>
      </c>
      <c s="24" r="K21">
        <v>7.30</v>
      </c>
      <c s="24" r="L21">
        <v>7.15</v>
      </c>
    </row>
    <row>
      <c s="28" r="A22">
        <v>13</v>
      </c>
      <c t="s" r="B22">
        <v>119</v>
      </c>
      <c s="29" r="C22">
        <v>10.95</v>
      </c>
      <c s="24" r="D22">
        <v>9.92</v>
      </c>
      <c s="29" r="E22">
        <v>10.48</v>
      </c>
      <c s="29" r="F22">
        <v>10.60</v>
      </c>
      <c s="24" r="G22">
        <v>8.65</v>
      </c>
      <c s="29" r="H22">
        <v>11.86</v>
      </c>
      <c s="24" r="I22">
        <v>9.04</v>
      </c>
      <c s="24" r="J22">
        <v>8.21</v>
      </c>
      <c s="29" r="K22">
        <v>10.48</v>
      </c>
      <c s="29" r="L22">
        <v>12.10</v>
      </c>
    </row>
    <row>
      <c s="28" r="A23">
        <v>14</v>
      </c>
      <c t="s" r="B23">
        <v>120</v>
      </c>
      <c s="24" r="C23">
        <v>0.82</v>
      </c>
      <c s="24" r="D23">
        <v>1.04</v>
      </c>
      <c s="24" r="E23">
        <v>0.62</v>
      </c>
      <c s="24" r="F23">
        <v>0.97</v>
      </c>
      <c s="24" r="G23">
        <v>0.37</v>
      </c>
      <c s="24" r="H23">
        <v>0.51</v>
      </c>
      <c s="24" r="I23">
        <v>0.56</v>
      </c>
      <c s="24" r="J23">
        <v>0.19</v>
      </c>
      <c s="24" r="K23">
        <v>0.42</v>
      </c>
      <c s="24" r="L23">
        <v>0.48</v>
      </c>
    </row>
    <row>
      <c s="28" r="A24">
        <v>15</v>
      </c>
      <c t="s" r="B24">
        <v>121</v>
      </c>
      <c s="24" r="C24">
        <v>2.79</v>
      </c>
      <c s="24" r="D24">
        <v>2.72</v>
      </c>
      <c s="24" r="E24">
        <v>2.31</v>
      </c>
      <c s="24" r="F24">
        <v>2.66</v>
      </c>
      <c s="24" r="G24">
        <v>2.86</v>
      </c>
      <c s="24" r="H24">
        <v>2.77</v>
      </c>
      <c s="24" r="I24">
        <v>2.88</v>
      </c>
      <c s="24" r="J24">
        <v>2.69</v>
      </c>
      <c s="24" r="K24">
        <v>3.02</v>
      </c>
      <c s="24" r="L24">
        <v>3.00</v>
      </c>
    </row>
    <row>
      <c s="28" r="A25">
        <v>16</v>
      </c>
      <c t="s" r="B25">
        <v>122</v>
      </c>
      <c s="24" r="C25">
        <v>2.76</v>
      </c>
      <c s="24" r="D25">
        <v>2.99</v>
      </c>
      <c s="24" r="E25">
        <v>3.10</v>
      </c>
      <c s="24" r="F25">
        <v>2.88</v>
      </c>
      <c s="24" r="G25">
        <v>3.11</v>
      </c>
      <c s="24" r="H25">
        <v>3.11</v>
      </c>
      <c s="24" r="I25">
        <v>3.09</v>
      </c>
      <c s="24" r="J25">
        <v>3.08</v>
      </c>
      <c s="24" r="K25">
        <v>3.60</v>
      </c>
      <c s="24" r="L25">
        <v>3.57</v>
      </c>
    </row>
    <row>
      <c s="28" r="A26">
        <v>17</v>
      </c>
      <c t="s" r="B26">
        <v>123</v>
      </c>
      <c s="24" r="C26">
        <v>2.19</v>
      </c>
      <c s="24" r="D26">
        <v>2.40</v>
      </c>
      <c s="24" r="E26">
        <v>2.76</v>
      </c>
      <c s="24" r="F26">
        <v>2.58</v>
      </c>
      <c s="24" r="G26">
        <v>2.05</v>
      </c>
      <c s="24" r="H26">
        <v>3.52</v>
      </c>
      <c s="24" r="I26">
        <v>3.58</v>
      </c>
      <c s="24" r="J26">
        <v>3.49</v>
      </c>
      <c s="24" r="K26">
        <v>4.05</v>
      </c>
      <c s="24" r="L26">
        <v>4.01</v>
      </c>
    </row>
    <row>
      <c s="28" r="A27">
        <v>18</v>
      </c>
      <c t="s" r="B27">
        <v>124</v>
      </c>
      <c s="24" r="C27">
        <v>0.65</v>
      </c>
      <c s="24" r="D27">
        <v>0.71</v>
      </c>
      <c s="24" r="E27">
        <v>0.93</v>
      </c>
      <c s="24" r="F27">
        <v>0.78</v>
      </c>
      <c s="24" r="G27">
        <v>0.78</v>
      </c>
      <c s="24" r="H27">
        <v>0.80</v>
      </c>
      <c s="24" r="I27">
        <v>0.76</v>
      </c>
      <c s="24" r="J27">
        <v>0.84</v>
      </c>
      <c s="24" r="K27">
        <v>1.04</v>
      </c>
      <c s="24" r="L27">
        <v>1.02</v>
      </c>
    </row>
    <row>
      <c s="28" r="A28">
        <v>19</v>
      </c>
      <c t="s" r="B28">
        <v>125</v>
      </c>
      <c s="24" r="C28">
        <v>7.58</v>
      </c>
      <c s="24" r="D28">
        <v>4.15</v>
      </c>
      <c s="24" r="E28">
        <v>4.93</v>
      </c>
      <c s="24" r="F28">
        <v>4.65</v>
      </c>
      <c s="24" r="G28">
        <v>4.95</v>
      </c>
      <c s="24" r="H28">
        <v>5.91</v>
      </c>
      <c s="24" r="I28">
        <v>4.12</v>
      </c>
      <c s="24" r="J28">
        <v>6.80</v>
      </c>
      <c s="24" r="K28">
        <v>4.86</v>
      </c>
      <c s="24" r="L28">
        <v>4.81</v>
      </c>
    </row>
    <row>
      <c s="28" r="A29">
        <v>20</v>
      </c>
      <c t="s" r="B29">
        <v>126</v>
      </c>
      <c t="s" r="C29"/>
      <c t="s" r="D29"/>
      <c t="s" r="E29"/>
      <c s="24" r="F29">
        <v>0.76</v>
      </c>
      <c s="24" r="G29">
        <v>0.86</v>
      </c>
      <c s="24" r="H29">
        <v>1.05</v>
      </c>
      <c s="24" r="I29">
        <v>1.09</v>
      </c>
      <c s="24" r="J29">
        <v>1.02</v>
      </c>
      <c s="24" r="K29">
        <v>1.19</v>
      </c>
      <c s="24" r="L29">
        <v>1.19</v>
      </c>
    </row>
    <row>
      <c s="28" r="A30">
        <v>21</v>
      </c>
      <c t="s" r="B30">
        <v>127</v>
      </c>
      <c s="24" r="C30">
        <v>0.77</v>
      </c>
      <c s="24" r="D30">
        <v>1.01</v>
      </c>
      <c s="24" r="E30">
        <v>1.48</v>
      </c>
      <c s="24" r="F30">
        <v>1.98</v>
      </c>
      <c s="24" r="G30">
        <v>1.96</v>
      </c>
      <c s="24" r="H30">
        <v>1.50</v>
      </c>
      <c s="24" r="I30">
        <v>1.62</v>
      </c>
      <c s="24" r="J30">
        <v>2.25</v>
      </c>
      <c s="24" r="K30">
        <v>1.97</v>
      </c>
      <c s="24" r="L30">
        <v>1.95</v>
      </c>
    </row>
    <row>
      <c s="28" r="A31">
        <v>22</v>
      </c>
      <c t="s" r="B31">
        <v>128</v>
      </c>
      <c s="24" r="C31">
        <v>1.36</v>
      </c>
      <c s="24" r="D31">
        <v>2.26</v>
      </c>
      <c s="24" r="E31">
        <v>2.08</v>
      </c>
      <c s="24" r="F31">
        <v>1.87</v>
      </c>
      <c s="24" r="G31">
        <v>2.54</v>
      </c>
      <c s="24" r="H31">
        <v>2.66</v>
      </c>
      <c s="24" r="I31">
        <v>2.88</v>
      </c>
      <c s="24" r="J31">
        <v>3.36</v>
      </c>
      <c s="24" r="K31">
        <v>3.97</v>
      </c>
      <c s="24" r="L31">
        <v>3.94</v>
      </c>
    </row>
    <row>
      <c s="28" r="A32">
        <v>23</v>
      </c>
      <c t="s" r="B32">
        <v>129</v>
      </c>
      <c t="s" r="C32"/>
      <c s="24" r="D32">
        <v>0.04</v>
      </c>
      <c s="24" r="E32">
        <v>2.03</v>
      </c>
      <c s="24" r="F32">
        <v>0.64</v>
      </c>
      <c t="s" r="G32"/>
      <c t="s" r="H32"/>
      <c t="s" r="I32"/>
      <c t="s" r="J32"/>
      <c t="s" r="K32"/>
      <c t="s" r="L32"/>
    </row>
    <row>
      <c s="28" r="A33">
        <v>24</v>
      </c>
      <c t="s" r="B33">
        <v>130</v>
      </c>
      <c s="24" r="C33">
        <v>6.80</v>
      </c>
      <c s="24" r="D33">
        <v>7.01</v>
      </c>
      <c s="24" r="E33">
        <v>8.84</v>
      </c>
      <c s="24" r="F33">
        <v>7.61</v>
      </c>
      <c s="24" r="G33">
        <v>6.46</v>
      </c>
      <c s="24" r="H33">
        <v>8.37</v>
      </c>
      <c s="24" r="I33">
        <v>8.07</v>
      </c>
      <c s="24" r="J33">
        <v>5.68</v>
      </c>
      <c s="24" r="K33">
        <v>7.46</v>
      </c>
      <c s="24" r="L33">
        <v>7.41</v>
      </c>
    </row>
    <row>
      <c s="28" r="A34">
        <v>25</v>
      </c>
      <c t="s" r="B34">
        <v>131</v>
      </c>
      <c s="24" r="C34">
        <v>1.27</v>
      </c>
      <c s="24" r="D34">
        <v>1.31</v>
      </c>
      <c s="24" r="E34">
        <v>1.29</v>
      </c>
      <c s="24" r="F34">
        <v>1.23</v>
      </c>
      <c s="24" r="G34">
        <v>1.21</v>
      </c>
      <c s="24" r="H34">
        <v>1.57</v>
      </c>
      <c s="24" r="I34">
        <v>1.33</v>
      </c>
      <c s="24" r="J34">
        <v>1.27</v>
      </c>
      <c s="24" r="K34">
        <v>1.51</v>
      </c>
      <c s="24" r="L34">
        <v>1.50</v>
      </c>
    </row>
    <row>
      <c s="28" r="A35">
        <v>26</v>
      </c>
      <c t="s" r="B35">
        <v>132</v>
      </c>
      <c s="24" r="C35">
        <v>2.80</v>
      </c>
      <c s="24" r="D35">
        <v>2.67</v>
      </c>
      <c s="24" r="E35">
        <v>3.50</v>
      </c>
      <c s="24" r="F35">
        <v>3.04</v>
      </c>
      <c s="24" r="G35">
        <v>2.84</v>
      </c>
      <c s="24" r="H35">
        <v>3.52</v>
      </c>
      <c s="24" r="I35">
        <v>3.66</v>
      </c>
      <c s="24" r="J35">
        <v>3.35</v>
      </c>
      <c s="24" r="K35">
        <v>4.00</v>
      </c>
      <c s="24" r="L35">
        <v>3.94</v>
      </c>
    </row>
    <row>
      <c s="38" r="A36">
        <v>27</v>
      </c>
      <c s="20" t="s" r="B36">
        <v>133</v>
      </c>
      <c s="42" r="C36">
        <v>63.97</v>
      </c>
      <c s="42" r="D36">
        <v>62.68</v>
      </c>
      <c s="42" r="E36">
        <v>72.43</v>
      </c>
      <c s="42" r="F36">
        <v>68.89</v>
      </c>
      <c s="42" r="G36">
        <v>64.43</v>
      </c>
      <c s="42" r="H36">
        <v>76.62</v>
      </c>
      <c s="42" r="I36">
        <v>73.06</v>
      </c>
      <c s="42" r="J36">
        <v>70.61</v>
      </c>
      <c s="42" r="K36">
        <v>79.02</v>
      </c>
      <c s="42" r="L36">
        <v>80.10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8" r="A38">
        <v>28</v>
      </c>
      <c t="s" r="B38">
        <v>134</v>
      </c>
      <c s="24" r="C38">
        <v>1.77</v>
      </c>
      <c s="24" r="D38">
        <v>2.18</v>
      </c>
      <c s="24" r="E38">
        <v>2.22</v>
      </c>
      <c s="24" r="F38">
        <v>2.23</v>
      </c>
      <c s="24" r="G38">
        <v>2.46</v>
      </c>
      <c s="24" r="H38">
        <v>2.54</v>
      </c>
      <c s="24" r="I38">
        <v>2.88</v>
      </c>
      <c s="24" r="J38">
        <v>3.11</v>
      </c>
      <c s="24" r="K38">
        <v>4.32</v>
      </c>
      <c s="24" r="L38">
        <v>4.28</v>
      </c>
    </row>
    <row>
      <c s="28" r="A39">
        <v>29</v>
      </c>
      <c t="s" r="B39">
        <v>135</v>
      </c>
      <c s="24" r="C39">
        <v>0.59</v>
      </c>
      <c s="24" r="D39">
        <v>0.52</v>
      </c>
      <c s="24" r="E39">
        <v>0.65</v>
      </c>
      <c s="24" r="F39">
        <v>0.44</v>
      </c>
      <c s="24" r="G39">
        <v>0.76</v>
      </c>
      <c s="24" r="H39">
        <v>0.56</v>
      </c>
      <c s="24" r="I39">
        <v>0.50</v>
      </c>
      <c s="24" r="J39">
        <v>0.60</v>
      </c>
      <c s="24" r="K39">
        <v>0.70</v>
      </c>
      <c s="24" r="L39">
        <v>0.70</v>
      </c>
    </row>
    <row>
      <c s="28" r="A40">
        <v>30</v>
      </c>
      <c t="s" r="B40">
        <v>136</v>
      </c>
      <c s="24" r="C40">
        <v>2.38</v>
      </c>
      <c s="24" r="D40">
        <v>1.99</v>
      </c>
      <c s="24" r="E40">
        <v>2.23</v>
      </c>
      <c s="24" r="F40">
        <v>2.45</v>
      </c>
      <c s="24" r="G40">
        <v>2.53</v>
      </c>
      <c s="24" r="H40">
        <v>2.89</v>
      </c>
      <c s="24" r="I40">
        <v>2.97</v>
      </c>
      <c s="24" r="J40">
        <v>3.01</v>
      </c>
      <c s="24" r="K40">
        <v>3.79</v>
      </c>
      <c s="24" r="L40">
        <v>3.77</v>
      </c>
    </row>
    <row>
      <c s="28" r="A41">
        <v>31</v>
      </c>
      <c t="s" r="B41">
        <v>137</v>
      </c>
      <c s="24" r="C41">
        <v>1.32</v>
      </c>
      <c s="24" r="D41">
        <v>1.00</v>
      </c>
      <c s="24" r="E41">
        <v>1.73</v>
      </c>
      <c s="24" r="F41">
        <v>1.46</v>
      </c>
      <c s="24" r="G41">
        <v>1.29</v>
      </c>
      <c s="24" r="H41">
        <v>1.33</v>
      </c>
      <c s="24" r="I41">
        <v>0.85</v>
      </c>
      <c s="24" r="J41">
        <v>0.82</v>
      </c>
      <c s="24" r="K41">
        <v>0.97</v>
      </c>
      <c s="24" r="L41">
        <v>0.96</v>
      </c>
    </row>
    <row>
      <c s="28" r="A42">
        <v>32</v>
      </c>
      <c t="s" r="B42">
        <v>138</v>
      </c>
      <c s="24" r="C42">
        <v>8.72</v>
      </c>
      <c s="24" r="D42">
        <v>9.35</v>
      </c>
      <c s="29" r="E42">
        <v>10.70</v>
      </c>
      <c s="29" r="F42">
        <v>11.53</v>
      </c>
      <c s="24" r="G42">
        <v>9.04</v>
      </c>
      <c s="24" r="H42">
        <v>9.60</v>
      </c>
      <c s="29" r="I42">
        <v>16.11</v>
      </c>
      <c s="29" r="J42">
        <v>19.84</v>
      </c>
      <c s="29" r="K42">
        <v>21.05</v>
      </c>
      <c s="29" r="L42">
        <v>18.65</v>
      </c>
    </row>
    <row>
      <c s="28" r="A43">
        <v>33</v>
      </c>
      <c t="s" r="B43">
        <v>139</v>
      </c>
      <c s="24" r="C43">
        <v>2.52</v>
      </c>
      <c s="24" r="D43">
        <v>3.45</v>
      </c>
      <c s="24" r="E43">
        <v>3.49</v>
      </c>
      <c s="24" r="F43">
        <v>3.38</v>
      </c>
      <c s="24" r="G43">
        <v>2.20</v>
      </c>
      <c s="24" r="H43">
        <v>3.35</v>
      </c>
      <c s="24" r="I43">
        <v>3.72</v>
      </c>
      <c s="24" r="J43">
        <v>5.43</v>
      </c>
      <c s="24" r="K43">
        <v>6.37</v>
      </c>
      <c s="24" r="L43">
        <v>6.31</v>
      </c>
    </row>
    <row>
      <c s="38" r="A44">
        <v>34</v>
      </c>
      <c s="20" t="s" r="B44">
        <v>140</v>
      </c>
      <c s="42" r="C44">
        <v>17.30</v>
      </c>
      <c s="42" r="D44">
        <v>18.49</v>
      </c>
      <c s="42" r="E44">
        <v>21.02</v>
      </c>
      <c s="42" r="F44">
        <v>21.50</v>
      </c>
      <c s="42" r="G44">
        <v>18.29</v>
      </c>
      <c s="42" r="H44">
        <v>20.26</v>
      </c>
      <c s="42" r="I44">
        <v>27.01</v>
      </c>
      <c s="42" r="J44">
        <v>32.82</v>
      </c>
      <c s="42" r="K44">
        <v>37.20</v>
      </c>
      <c s="42" r="L44">
        <v>34.68</v>
      </c>
    </row>
    <row>
      <c s="38" r="A45">
        <v>35</v>
      </c>
      <c s="20" t="s" r="B45">
        <v>141</v>
      </c>
      <c s="42" r="C45">
        <v>81.27</v>
      </c>
      <c s="42" r="D45">
        <v>81.17</v>
      </c>
      <c s="42" r="E45">
        <v>93.45</v>
      </c>
      <c s="42" r="F45">
        <v>90.38</v>
      </c>
      <c s="42" r="G45">
        <v>82.72</v>
      </c>
      <c s="42" r="H45">
        <v>96.88</v>
      </c>
      <c s="41" r="I45">
        <v>100.07</v>
      </c>
      <c s="41" r="J45">
        <v>103.43</v>
      </c>
      <c s="41" r="K45">
        <v>116.22</v>
      </c>
      <c s="41" r="L45">
        <v>114.78</v>
      </c>
    </row>
    <row>
      <c s="28" r="A46">
        <v>36</v>
      </c>
      <c t="s" r="B46">
        <v>142</v>
      </c>
      <c s="24" r="C46">
        <v>6.17</v>
      </c>
      <c s="24" r="D46">
        <v>7.24</v>
      </c>
      <c s="24" r="E46">
        <v>8.56</v>
      </c>
      <c s="24" r="F46">
        <v>9.55</v>
      </c>
      <c s="24" r="G46">
        <v>8.56</v>
      </c>
      <c s="24" r="H46">
        <v>8.07</v>
      </c>
      <c s="24" r="I46">
        <v>7.79</v>
      </c>
      <c s="24" r="J46">
        <v>7.72</v>
      </c>
      <c s="24" r="K46">
        <v>8.69</v>
      </c>
      <c s="24" r="L46">
        <v>8.79</v>
      </c>
    </row>
    <row>
      <c s="38" r="A47">
        <v>37</v>
      </c>
      <c s="20" t="s" r="B47">
        <v>143</v>
      </c>
      <c s="42" r="C47">
        <v>87.44</v>
      </c>
      <c s="42" r="D47">
        <v>88.41</v>
      </c>
      <c s="41" r="E47">
        <v>102.01</v>
      </c>
      <c s="42" r="F47">
        <v>99.94</v>
      </c>
      <c s="42" r="G47">
        <v>91.28</v>
      </c>
      <c s="41" r="H47">
        <v>104.95</v>
      </c>
      <c s="41" r="I47">
        <v>107.86</v>
      </c>
      <c s="41" r="J47">
        <v>111.15</v>
      </c>
      <c s="41" r="K47">
        <v>124.91</v>
      </c>
      <c s="41" r="L47">
        <v>123.57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8" r="A49">
        <v>38</v>
      </c>
      <c s="20" t="s" r="B49">
        <v>144</v>
      </c>
      <c s="42" r="C49">
        <v>20.39</v>
      </c>
      <c s="42" r="D49">
        <v>41.38</v>
      </c>
      <c s="42" r="E49">
        <v>38.55</v>
      </c>
      <c s="42" r="F49">
        <v>28.60</v>
      </c>
      <c s="42" r="G49">
        <v>20.95</v>
      </c>
      <c s="42" r="H49">
        <v>41.93</v>
      </c>
      <c s="42" r="I49">
        <v>22.42</v>
      </c>
      <c s="42" r="J49">
        <v>-9.04</v>
      </c>
      <c s="42" r="K49">
        <v>14.24</v>
      </c>
      <c s="42" r="L49">
        <v>22.30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2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156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157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106</v>
      </c>
      <c s="29" r="C8">
        <v>52.16</v>
      </c>
      <c s="29" r="D8">
        <v>50.88</v>
      </c>
      <c s="29" r="E8">
        <v>62.84</v>
      </c>
      <c s="29" r="F8">
        <v>48.45</v>
      </c>
      <c s="29" r="G8">
        <v>39.75</v>
      </c>
      <c s="29" r="H8">
        <v>46.59</v>
      </c>
      <c s="29" r="I8">
        <v>48.18</v>
      </c>
      <c s="29" r="J8">
        <v>45.05</v>
      </c>
      <c s="29" r="K8">
        <v>43.64</v>
      </c>
      <c s="29" r="L8">
        <v>46.40</v>
      </c>
    </row>
    <row>
      <c s="22" r="A9">
        <v>2</v>
      </c>
      <c t="s" r="B9">
        <v>107</v>
      </c>
      <c s="30" r="C9">
        <v>193.15</v>
      </c>
      <c s="30" r="D9">
        <v>260.61</v>
      </c>
      <c s="30" r="E9">
        <v>330.47</v>
      </c>
      <c s="30" r="F9">
        <v>324.26</v>
      </c>
      <c s="30" r="G9">
        <v>273.08</v>
      </c>
      <c s="30" r="H9">
        <v>397.68</v>
      </c>
      <c s="30" r="I9">
        <v>349.54</v>
      </c>
      <c s="30" r="J9">
        <v>258.39</v>
      </c>
      <c s="30" r="K9">
        <v>315.75</v>
      </c>
      <c s="30" r="L9">
        <v>331.14</v>
      </c>
    </row>
    <row>
      <c s="22" r="A10">
        <v>3</v>
      </c>
      <c t="s" r="B10">
        <v>108</v>
      </c>
      <c s="30" r="C10">
        <v>104.64</v>
      </c>
      <c s="30" r="D10">
        <v>114.40</v>
      </c>
      <c s="30" r="E10">
        <v>120.74</v>
      </c>
      <c s="30" r="F10">
        <v>117.36</v>
      </c>
      <c s="29" r="G10">
        <v>99.78</v>
      </c>
      <c s="30" r="H10">
        <v>140.60</v>
      </c>
      <c s="30" r="I10">
        <v>154.50</v>
      </c>
      <c s="30" r="J10">
        <v>133.56</v>
      </c>
      <c s="30" r="K10">
        <v>158.69</v>
      </c>
      <c s="30" r="L10">
        <v>182.20</v>
      </c>
    </row>
    <row>
      <c s="22" r="A11">
        <v>4</v>
      </c>
      <c t="s" r="B11">
        <v>109</v>
      </c>
      <c s="29" r="C11">
        <v>19.76</v>
      </c>
      <c s="29" r="D11">
        <v>16.92</v>
      </c>
      <c s="29" r="E11">
        <v>15.39</v>
      </c>
      <c s="29" r="F11">
        <v>18.08</v>
      </c>
      <c s="29" r="G11">
        <v>14.52</v>
      </c>
      <c s="29" r="H11">
        <v>19.36</v>
      </c>
      <c s="29" r="I11">
        <v>23.17</v>
      </c>
      <c s="29" r="J11">
        <v>13.54</v>
      </c>
      <c s="29" r="K11">
        <v>20.90</v>
      </c>
      <c s="29" r="L11">
        <v>22.03</v>
      </c>
    </row>
    <row>
      <c s="22" r="A12">
        <v>5</v>
      </c>
      <c t="s" r="B12">
        <v>110</v>
      </c>
      <c s="24" r="C12">
        <v>4.27</v>
      </c>
      <c s="24" r="D12">
        <v>2.49</v>
      </c>
      <c s="24" r="E12">
        <v>2.85</v>
      </c>
      <c s="24" r="F12">
        <v>1.85</v>
      </c>
      <c s="24" r="G12">
        <v>1.25</v>
      </c>
      <c s="24" r="H12">
        <v>2.02</v>
      </c>
      <c s="24" r="I12">
        <v>1.87</v>
      </c>
      <c s="24" r="J12">
        <v>2.11</v>
      </c>
      <c s="24" r="K12">
        <v>1.35</v>
      </c>
      <c s="24" r="L12">
        <v>2.27</v>
      </c>
    </row>
    <row>
      <c s="22" r="A13">
        <v>6</v>
      </c>
      <c t="s" r="B13">
        <v>111</v>
      </c>
      <c s="24" r="C13">
        <v>0.36</v>
      </c>
      <c s="24" r="D13">
        <v>6.54</v>
      </c>
      <c s="29" r="E13">
        <v>14.77</v>
      </c>
      <c s="29" r="F13">
        <v>11.88</v>
      </c>
      <c s="24" r="G13">
        <v>0.43</v>
      </c>
      <c s="24" r="H13">
        <v>0.57</v>
      </c>
      <c t="s" r="I13"/>
      <c s="24" r="J13">
        <v>0.71</v>
      </c>
      <c s="24" r="K13">
        <v>0.71</v>
      </c>
      <c s="24" r="L13">
        <v>0.71</v>
      </c>
    </row>
    <row>
      <c s="22" r="A14">
        <v>7</v>
      </c>
      <c t="s" r="B14">
        <v>112</v>
      </c>
      <c s="29" r="C14">
        <v>22.45</v>
      </c>
      <c s="29" r="D14">
        <v>13.33</v>
      </c>
      <c s="29" r="E14">
        <v>11.19</v>
      </c>
      <c s="29" r="F14">
        <v>13.78</v>
      </c>
      <c s="29" r="G14">
        <v>12.42</v>
      </c>
      <c s="29" r="H14">
        <v>15.41</v>
      </c>
      <c s="29" r="I14">
        <v>16.51</v>
      </c>
      <c s="29" r="J14">
        <v>18.68</v>
      </c>
      <c s="29" r="K14">
        <v>18.78</v>
      </c>
      <c s="29" r="L14">
        <v>18.92</v>
      </c>
    </row>
    <row>
      <c s="36" r="A15">
        <v>8</v>
      </c>
      <c s="20" t="s" r="B15">
        <v>113</v>
      </c>
      <c s="41" r="C15">
        <v>396.78</v>
      </c>
      <c s="41" r="D15">
        <v>465.16</v>
      </c>
      <c s="41" r="E15">
        <v>558.25</v>
      </c>
      <c s="41" r="F15">
        <v>535.66</v>
      </c>
      <c s="41" r="G15">
        <v>441.24</v>
      </c>
      <c s="41" r="H15">
        <v>622.22</v>
      </c>
      <c s="41" r="I15">
        <v>593.77</v>
      </c>
      <c s="41" r="J15">
        <v>472.05</v>
      </c>
      <c s="41" r="K15">
        <v>559.82</v>
      </c>
      <c s="41" r="L15">
        <v>603.67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158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29" r="C18">
        <v>30.57</v>
      </c>
      <c s="29" r="D18">
        <v>31.43</v>
      </c>
      <c s="29" r="E18">
        <v>40.61</v>
      </c>
      <c s="29" r="F18">
        <v>43.46</v>
      </c>
      <c s="29" r="G18">
        <v>37.39</v>
      </c>
      <c s="29" r="H18">
        <v>45.85</v>
      </c>
      <c s="29" r="I18">
        <v>51.68</v>
      </c>
      <c s="29" r="J18">
        <v>52.38</v>
      </c>
      <c s="29" r="K18">
        <v>53.46</v>
      </c>
      <c s="29" r="L18">
        <v>54.52</v>
      </c>
    </row>
    <row>
      <c s="28" r="A19">
        <v>10</v>
      </c>
      <c t="s" r="B19">
        <v>116</v>
      </c>
      <c s="29" r="C19">
        <v>19.63</v>
      </c>
      <c s="29" r="D19">
        <v>20.64</v>
      </c>
      <c s="29" r="E19">
        <v>24.14</v>
      </c>
      <c s="29" r="F19">
        <v>25.84</v>
      </c>
      <c s="29" r="G19">
        <v>24.31</v>
      </c>
      <c s="29" r="H19">
        <v>30.80</v>
      </c>
      <c s="29" r="I19">
        <v>33.36</v>
      </c>
      <c s="29" r="J19">
        <v>31.15</v>
      </c>
      <c s="29" r="K19">
        <v>28.81</v>
      </c>
      <c s="29" r="L19">
        <v>29.73</v>
      </c>
    </row>
    <row>
      <c s="28" r="A20">
        <v>11</v>
      </c>
      <c t="s" r="B20">
        <v>117</v>
      </c>
      <c s="29" r="C20">
        <v>16.08</v>
      </c>
      <c s="29" r="D20">
        <v>15.48</v>
      </c>
      <c s="29" r="E20">
        <v>20.77</v>
      </c>
      <c s="29" r="F20">
        <v>16.45</v>
      </c>
      <c s="29" r="G20">
        <v>14.50</v>
      </c>
      <c s="29" r="H20">
        <v>18.74</v>
      </c>
      <c s="29" r="I20">
        <v>17.94</v>
      </c>
      <c s="29" r="J20">
        <v>15.06</v>
      </c>
      <c s="29" r="K20">
        <v>14.90</v>
      </c>
      <c s="29" r="L20">
        <v>15.18</v>
      </c>
    </row>
    <row>
      <c s="28" r="A21">
        <v>12</v>
      </c>
      <c t="s" r="B21">
        <v>118</v>
      </c>
      <c s="29" r="C21">
        <v>19.23</v>
      </c>
      <c s="29" r="D21">
        <v>20.07</v>
      </c>
      <c s="29" r="E21">
        <v>26.02</v>
      </c>
      <c s="29" r="F21">
        <v>25.24</v>
      </c>
      <c s="29" r="G21">
        <v>25.22</v>
      </c>
      <c s="29" r="H21">
        <v>29.43</v>
      </c>
      <c s="29" r="I21">
        <v>35.51</v>
      </c>
      <c s="29" r="J21">
        <v>32.66</v>
      </c>
      <c s="29" r="K21">
        <v>29.38</v>
      </c>
      <c s="29" r="L21">
        <v>29.59</v>
      </c>
    </row>
    <row>
      <c s="28" r="A22">
        <v>13</v>
      </c>
      <c t="s" r="B22">
        <v>119</v>
      </c>
      <c s="29" r="C22">
        <v>40.28</v>
      </c>
      <c s="29" r="D22">
        <v>35.57</v>
      </c>
      <c s="29" r="E22">
        <v>41.62</v>
      </c>
      <c s="29" r="F22">
        <v>44.17</v>
      </c>
      <c s="29" r="G22">
        <v>34.01</v>
      </c>
      <c s="29" r="H22">
        <v>50.23</v>
      </c>
      <c s="29" r="I22">
        <v>41.20</v>
      </c>
      <c s="29" r="J22">
        <v>37.97</v>
      </c>
      <c s="29" r="K22">
        <v>42.16</v>
      </c>
      <c s="29" r="L22">
        <v>50.07</v>
      </c>
    </row>
    <row>
      <c s="28" r="A23">
        <v>14</v>
      </c>
      <c t="s" r="B23">
        <v>120</v>
      </c>
      <c s="24" r="C23">
        <v>3.03</v>
      </c>
      <c s="24" r="D23">
        <v>3.71</v>
      </c>
      <c s="24" r="E23">
        <v>2.46</v>
      </c>
      <c s="24" r="F23">
        <v>4.06</v>
      </c>
      <c s="24" r="G23">
        <v>1.46</v>
      </c>
      <c s="24" r="H23">
        <v>2.15</v>
      </c>
      <c s="24" r="I23">
        <v>2.54</v>
      </c>
      <c s="24" r="J23">
        <v>0.90</v>
      </c>
      <c s="24" r="K23">
        <v>1.69</v>
      </c>
      <c s="24" r="L23">
        <v>1.98</v>
      </c>
    </row>
    <row>
      <c s="28" r="A24">
        <v>15</v>
      </c>
      <c t="s" r="B24">
        <v>121</v>
      </c>
      <c s="29" r="C24">
        <v>10.26</v>
      </c>
      <c s="24" r="D24">
        <v>9.74</v>
      </c>
      <c s="24" r="E24">
        <v>9.19</v>
      </c>
      <c s="29" r="F24">
        <v>11.10</v>
      </c>
      <c s="29" r="G24">
        <v>11.25</v>
      </c>
      <c s="29" r="H24">
        <v>11.73</v>
      </c>
      <c s="29" r="I24">
        <v>13.12</v>
      </c>
      <c s="29" r="J24">
        <v>12.41</v>
      </c>
      <c s="29" r="K24">
        <v>12.15</v>
      </c>
      <c s="29" r="L24">
        <v>12.43</v>
      </c>
    </row>
    <row>
      <c s="28" r="A25">
        <v>16</v>
      </c>
      <c t="s" r="B25">
        <v>122</v>
      </c>
      <c s="29" r="C25">
        <v>10.16</v>
      </c>
      <c s="29" r="D25">
        <v>10.71</v>
      </c>
      <c s="29" r="E25">
        <v>12.31</v>
      </c>
      <c s="29" r="F25">
        <v>11.99</v>
      </c>
      <c s="29" r="G25">
        <v>12.22</v>
      </c>
      <c s="29" r="H25">
        <v>13.20</v>
      </c>
      <c s="29" r="I25">
        <v>14.09</v>
      </c>
      <c s="29" r="J25">
        <v>14.22</v>
      </c>
      <c s="29" r="K25">
        <v>14.48</v>
      </c>
      <c s="29" r="L25">
        <v>14.76</v>
      </c>
    </row>
    <row>
      <c s="28" r="A26">
        <v>17</v>
      </c>
      <c t="s" r="B26">
        <v>123</v>
      </c>
      <c s="24" r="C26">
        <v>8.06</v>
      </c>
      <c s="24" r="D26">
        <v>8.59</v>
      </c>
      <c s="29" r="E26">
        <v>10.97</v>
      </c>
      <c s="29" r="F26">
        <v>10.75</v>
      </c>
      <c s="24" r="G26">
        <v>8.06</v>
      </c>
      <c s="29" r="H26">
        <v>14.91</v>
      </c>
      <c s="29" r="I26">
        <v>16.31</v>
      </c>
      <c s="29" r="J26">
        <v>16.13</v>
      </c>
      <c s="29" r="K26">
        <v>16.31</v>
      </c>
      <c s="29" r="L26">
        <v>16.60</v>
      </c>
    </row>
    <row>
      <c s="28" r="A27">
        <v>18</v>
      </c>
      <c t="s" r="B27">
        <v>124</v>
      </c>
      <c s="24" r="C27">
        <v>2.38</v>
      </c>
      <c s="24" r="D27">
        <v>2.56</v>
      </c>
      <c s="24" r="E27">
        <v>3.68</v>
      </c>
      <c s="24" r="F27">
        <v>3.25</v>
      </c>
      <c s="24" r="G27">
        <v>3.07</v>
      </c>
      <c s="24" r="H27">
        <v>3.41</v>
      </c>
      <c s="24" r="I27">
        <v>3.46</v>
      </c>
      <c s="24" r="J27">
        <v>3.89</v>
      </c>
      <c s="24" r="K27">
        <v>4.17</v>
      </c>
      <c s="24" r="L27">
        <v>4.24</v>
      </c>
    </row>
    <row>
      <c s="28" r="A28">
        <v>19</v>
      </c>
      <c t="s" r="B28">
        <v>125</v>
      </c>
      <c s="29" r="C28">
        <v>27.90</v>
      </c>
      <c s="29" r="D28">
        <v>14.88</v>
      </c>
      <c s="29" r="E28">
        <v>19.58</v>
      </c>
      <c s="29" r="F28">
        <v>19.36</v>
      </c>
      <c s="29" r="G28">
        <v>19.47</v>
      </c>
      <c s="29" r="H28">
        <v>25.02</v>
      </c>
      <c s="29" r="I28">
        <v>18.76</v>
      </c>
      <c s="29" r="J28">
        <v>31.42</v>
      </c>
      <c s="29" r="K28">
        <v>19.56</v>
      </c>
      <c s="29" r="L28">
        <v>19.92</v>
      </c>
    </row>
    <row>
      <c s="28" r="A29">
        <v>20</v>
      </c>
      <c t="s" r="B29">
        <v>126</v>
      </c>
      <c t="s" r="C29"/>
      <c t="s" r="D29"/>
      <c t="s" r="E29"/>
      <c s="24" r="F29">
        <v>3.17</v>
      </c>
      <c s="24" r="G29">
        <v>3.37</v>
      </c>
      <c s="24" r="H29">
        <v>4.44</v>
      </c>
      <c s="24" r="I29">
        <v>4.99</v>
      </c>
      <c s="24" r="J29">
        <v>4.74</v>
      </c>
      <c s="24" r="K29">
        <v>4.80</v>
      </c>
      <c s="24" r="L29">
        <v>4.94</v>
      </c>
    </row>
    <row>
      <c s="28" r="A30">
        <v>21</v>
      </c>
      <c t="s" r="B30">
        <v>127</v>
      </c>
      <c s="24" r="C30">
        <v>2.82</v>
      </c>
      <c s="24" r="D30">
        <v>3.61</v>
      </c>
      <c s="24" r="E30">
        <v>5.86</v>
      </c>
      <c s="24" r="F30">
        <v>8.24</v>
      </c>
      <c s="24" r="G30">
        <v>7.71</v>
      </c>
      <c s="24" r="H30">
        <v>6.35</v>
      </c>
      <c s="24" r="I30">
        <v>7.39</v>
      </c>
      <c s="29" r="J30">
        <v>10.41</v>
      </c>
      <c s="24" r="K30">
        <v>7.91</v>
      </c>
      <c s="24" r="L30">
        <v>8.05</v>
      </c>
    </row>
    <row>
      <c s="28" r="A31">
        <v>22</v>
      </c>
      <c t="s" r="B31">
        <v>128</v>
      </c>
      <c s="24" r="C31">
        <v>5.01</v>
      </c>
      <c s="24" r="D31">
        <v>8.11</v>
      </c>
      <c s="24" r="E31">
        <v>8.27</v>
      </c>
      <c s="24" r="F31">
        <v>7.78</v>
      </c>
      <c s="29" r="G31">
        <v>10.00</v>
      </c>
      <c s="29" r="H31">
        <v>11.29</v>
      </c>
      <c s="29" r="I31">
        <v>13.15</v>
      </c>
      <c s="29" r="J31">
        <v>15.51</v>
      </c>
      <c s="29" r="K31">
        <v>15.96</v>
      </c>
      <c s="29" r="L31">
        <v>16.31</v>
      </c>
    </row>
    <row>
      <c s="28" r="A32">
        <v>23</v>
      </c>
      <c t="s" r="B32">
        <v>129</v>
      </c>
      <c t="s" r="C32"/>
      <c s="24" r="D32">
        <v>0.16</v>
      </c>
      <c s="24" r="E32">
        <v>8.06</v>
      </c>
      <c s="24" r="F32">
        <v>2.69</v>
      </c>
      <c t="s" r="G32"/>
      <c t="s" r="H32"/>
      <c t="s" r="I32"/>
      <c t="s" r="J32"/>
      <c t="s" r="K32"/>
      <c t="s" r="L32"/>
    </row>
    <row>
      <c s="28" r="A33">
        <v>24</v>
      </c>
      <c t="s" r="B33">
        <v>130</v>
      </c>
      <c s="29" r="C33">
        <v>25.02</v>
      </c>
      <c s="29" r="D33">
        <v>25.12</v>
      </c>
      <c s="29" r="E33">
        <v>35.10</v>
      </c>
      <c s="29" r="F33">
        <v>31.73</v>
      </c>
      <c s="29" r="G33">
        <v>25.38</v>
      </c>
      <c s="29" r="H33">
        <v>35.46</v>
      </c>
      <c s="29" r="I33">
        <v>36.78</v>
      </c>
      <c s="29" r="J33">
        <v>26.24</v>
      </c>
      <c s="29" r="K33">
        <v>30.01</v>
      </c>
      <c s="29" r="L33">
        <v>30.65</v>
      </c>
    </row>
    <row>
      <c s="28" r="A34">
        <v>25</v>
      </c>
      <c t="s" r="B34">
        <v>131</v>
      </c>
      <c s="24" r="C34">
        <v>4.66</v>
      </c>
      <c s="24" r="D34">
        <v>4.69</v>
      </c>
      <c s="24" r="E34">
        <v>5.13</v>
      </c>
      <c s="24" r="F34">
        <v>5.14</v>
      </c>
      <c s="24" r="G34">
        <v>4.75</v>
      </c>
      <c s="24" r="H34">
        <v>6.67</v>
      </c>
      <c s="24" r="I34">
        <v>6.04</v>
      </c>
      <c s="24" r="J34">
        <v>5.89</v>
      </c>
      <c s="24" r="K34">
        <v>6.07</v>
      </c>
      <c s="24" r="L34">
        <v>6.21</v>
      </c>
    </row>
    <row>
      <c s="28" r="A35">
        <v>26</v>
      </c>
      <c t="s" r="B35">
        <v>132</v>
      </c>
      <c s="29" r="C35">
        <v>10.31</v>
      </c>
      <c s="24" r="D35">
        <v>9.57</v>
      </c>
      <c s="29" r="E35">
        <v>13.91</v>
      </c>
      <c s="29" r="F35">
        <v>12.65</v>
      </c>
      <c s="29" r="G35">
        <v>11.15</v>
      </c>
      <c s="29" r="H35">
        <v>14.91</v>
      </c>
      <c s="29" r="I35">
        <v>16.69</v>
      </c>
      <c s="29" r="J35">
        <v>15.47</v>
      </c>
      <c s="29" r="K35">
        <v>16.10</v>
      </c>
      <c s="29" r="L35">
        <v>16.31</v>
      </c>
    </row>
    <row>
      <c s="38" r="A36">
        <v>27</v>
      </c>
      <c s="20" t="s" r="B36">
        <v>133</v>
      </c>
      <c s="41" r="C36">
        <v>235.39</v>
      </c>
      <c s="41" r="D36">
        <v>224.62</v>
      </c>
      <c s="41" r="E36">
        <v>287.68</v>
      </c>
      <c s="41" r="F36">
        <v>287.08</v>
      </c>
      <c s="41" r="G36">
        <v>253.32</v>
      </c>
      <c s="41" r="H36">
        <v>324.58</v>
      </c>
      <c s="41" r="I36">
        <v>333.00</v>
      </c>
      <c s="41" r="J36">
        <v>326.44</v>
      </c>
      <c s="41" r="K36">
        <v>317.94</v>
      </c>
      <c s="41" r="L36">
        <v>331.50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8" r="A38">
        <v>28</v>
      </c>
      <c t="s" r="B38">
        <v>134</v>
      </c>
      <c s="24" r="C38">
        <v>6.52</v>
      </c>
      <c s="24" r="D38">
        <v>7.82</v>
      </c>
      <c s="24" r="E38">
        <v>8.82</v>
      </c>
      <c s="24" r="F38">
        <v>9.29</v>
      </c>
      <c s="24" r="G38">
        <v>9.69</v>
      </c>
      <c s="29" r="H38">
        <v>10.74</v>
      </c>
      <c s="29" r="I38">
        <v>13.12</v>
      </c>
      <c s="29" r="J38">
        <v>14.40</v>
      </c>
      <c s="29" r="K38">
        <v>17.37</v>
      </c>
      <c s="29" r="L38">
        <v>17.73</v>
      </c>
    </row>
    <row>
      <c s="28" r="A39">
        <v>29</v>
      </c>
      <c t="s" r="B39">
        <v>135</v>
      </c>
      <c s="24" r="C39">
        <v>2.18</v>
      </c>
      <c s="24" r="D39">
        <v>1.88</v>
      </c>
      <c s="24" r="E39">
        <v>2.56</v>
      </c>
      <c s="24" r="F39">
        <v>1.85</v>
      </c>
      <c s="24" r="G39">
        <v>3.00</v>
      </c>
      <c s="24" r="H39">
        <v>2.36</v>
      </c>
      <c s="24" r="I39">
        <v>2.27</v>
      </c>
      <c s="24" r="J39">
        <v>2.79</v>
      </c>
      <c s="24" r="K39">
        <v>2.82</v>
      </c>
      <c s="24" r="L39">
        <v>2.90</v>
      </c>
    </row>
    <row>
      <c s="28" r="A40">
        <v>30</v>
      </c>
      <c t="s" r="B40">
        <v>136</v>
      </c>
      <c s="24" r="C40">
        <v>8.75</v>
      </c>
      <c s="24" r="D40">
        <v>7.14</v>
      </c>
      <c s="24" r="E40">
        <v>8.85</v>
      </c>
      <c s="29" r="F40">
        <v>10.22</v>
      </c>
      <c s="24" r="G40">
        <v>9.96</v>
      </c>
      <c s="29" r="H40">
        <v>12.24</v>
      </c>
      <c s="29" r="I40">
        <v>13.52</v>
      </c>
      <c s="29" r="J40">
        <v>13.90</v>
      </c>
      <c s="29" r="K40">
        <v>15.25</v>
      </c>
      <c s="29" r="L40">
        <v>15.61</v>
      </c>
    </row>
    <row>
      <c s="28" r="A41">
        <v>31</v>
      </c>
      <c t="s" r="B41">
        <v>137</v>
      </c>
      <c s="24" r="C41">
        <v>4.85</v>
      </c>
      <c s="24" r="D41">
        <v>3.57</v>
      </c>
      <c s="24" r="E41">
        <v>6.86</v>
      </c>
      <c s="24" r="F41">
        <v>6.08</v>
      </c>
      <c s="24" r="G41">
        <v>5.09</v>
      </c>
      <c s="24" r="H41">
        <v>5.62</v>
      </c>
      <c s="24" r="I41">
        <v>3.86</v>
      </c>
      <c s="24" r="J41">
        <v>3.77</v>
      </c>
      <c s="24" r="K41">
        <v>3.88</v>
      </c>
      <c s="24" r="L41">
        <v>3.95</v>
      </c>
    </row>
    <row>
      <c s="28" r="A42">
        <v>32</v>
      </c>
      <c t="s" r="B42">
        <v>138</v>
      </c>
      <c s="29" r="C42">
        <v>32.09</v>
      </c>
      <c s="29" r="D42">
        <v>33.51</v>
      </c>
      <c s="29" r="E42">
        <v>42.50</v>
      </c>
      <c s="29" r="F42">
        <v>48.04</v>
      </c>
      <c s="29" r="G42">
        <v>35.53</v>
      </c>
      <c s="29" r="H42">
        <v>40.66</v>
      </c>
      <c s="29" r="I42">
        <v>73.41</v>
      </c>
      <c s="29" r="J42">
        <v>91.73</v>
      </c>
      <c s="29" r="K42">
        <v>84.68</v>
      </c>
      <c s="29" r="L42">
        <v>77.19</v>
      </c>
    </row>
    <row>
      <c s="28" r="A43">
        <v>33</v>
      </c>
      <c t="s" r="B43">
        <v>139</v>
      </c>
      <c s="24" r="C43">
        <v>9.27</v>
      </c>
      <c s="29" r="D43">
        <v>12.36</v>
      </c>
      <c s="29" r="E43">
        <v>13.88</v>
      </c>
      <c s="29" r="F43">
        <v>14.10</v>
      </c>
      <c s="24" r="G43">
        <v>8.64</v>
      </c>
      <c s="29" r="H43">
        <v>14.20</v>
      </c>
      <c s="29" r="I43">
        <v>16.94</v>
      </c>
      <c s="29" r="J43">
        <v>25.12</v>
      </c>
      <c s="29" r="K43">
        <v>25.64</v>
      </c>
      <c s="29" r="L43">
        <v>26.13</v>
      </c>
    </row>
    <row>
      <c s="38" r="A44">
        <v>34</v>
      </c>
      <c s="20" t="s" r="B44">
        <v>140</v>
      </c>
      <c s="42" r="C44">
        <v>63.66</v>
      </c>
      <c s="42" r="D44">
        <v>66.28</v>
      </c>
      <c s="42" r="E44">
        <v>83.47</v>
      </c>
      <c s="42" r="F44">
        <v>89.58</v>
      </c>
      <c s="42" r="G44">
        <v>71.90</v>
      </c>
      <c s="42" r="H44">
        <v>85.81</v>
      </c>
      <c s="41" r="I44">
        <v>123.11</v>
      </c>
      <c s="41" r="J44">
        <v>151.71</v>
      </c>
      <c s="41" r="K44">
        <v>149.65</v>
      </c>
      <c s="41" r="L44">
        <v>143.50</v>
      </c>
    </row>
    <row>
      <c s="38" r="A45">
        <v>35</v>
      </c>
      <c s="20" t="s" r="B45">
        <v>141</v>
      </c>
      <c s="41" r="C45">
        <v>299.06</v>
      </c>
      <c s="41" r="D45">
        <v>290.90</v>
      </c>
      <c s="41" r="E45">
        <v>371.15</v>
      </c>
      <c s="41" r="F45">
        <v>376.66</v>
      </c>
      <c s="41" r="G45">
        <v>325.22</v>
      </c>
      <c s="41" r="H45">
        <v>410.39</v>
      </c>
      <c s="41" r="I45">
        <v>456.11</v>
      </c>
      <c s="41" r="J45">
        <v>478.15</v>
      </c>
      <c s="41" r="K45">
        <v>467.58</v>
      </c>
      <c s="41" r="L45">
        <v>475.00</v>
      </c>
    </row>
    <row>
      <c s="28" r="A46">
        <v>36</v>
      </c>
      <c t="s" r="B46">
        <v>142</v>
      </c>
      <c s="29" r="C46">
        <v>22.71</v>
      </c>
      <c s="29" r="D46">
        <v>25.94</v>
      </c>
      <c s="29" r="E46">
        <v>34.00</v>
      </c>
      <c s="29" r="F46">
        <v>39.80</v>
      </c>
      <c s="29" r="G46">
        <v>33.65</v>
      </c>
      <c s="29" r="H46">
        <v>34.19</v>
      </c>
      <c s="29" r="I46">
        <v>35.49</v>
      </c>
      <c s="29" r="J46">
        <v>35.68</v>
      </c>
      <c s="29" r="K46">
        <v>34.96</v>
      </c>
      <c s="29" r="L46">
        <v>36.37</v>
      </c>
    </row>
    <row>
      <c s="38" r="A47">
        <v>37</v>
      </c>
      <c s="20" t="s" r="B47">
        <v>143</v>
      </c>
      <c s="41" r="C47">
        <v>321.76</v>
      </c>
      <c s="41" r="D47">
        <v>316.84</v>
      </c>
      <c s="41" r="E47">
        <v>405.15</v>
      </c>
      <c s="41" r="F47">
        <v>416.46</v>
      </c>
      <c s="41" r="G47">
        <v>358.88</v>
      </c>
      <c s="41" r="H47">
        <v>444.58</v>
      </c>
      <c s="41" r="I47">
        <v>491.60</v>
      </c>
      <c s="41" r="J47">
        <v>513.83</v>
      </c>
      <c s="41" r="K47">
        <v>502.54</v>
      </c>
      <c s="41" r="L47">
        <v>511.37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8" r="A49">
        <v>38</v>
      </c>
      <c s="20" t="s" r="B49">
        <v>144</v>
      </c>
      <c s="42" r="C49">
        <v>75.02</v>
      </c>
      <c s="41" r="D49">
        <v>148.31</v>
      </c>
      <c s="41" r="E49">
        <v>153.10</v>
      </c>
      <c s="41" r="F49">
        <v>119.20</v>
      </c>
      <c s="42" r="G49">
        <v>82.36</v>
      </c>
      <c s="41" r="H49">
        <v>177.64</v>
      </c>
      <c s="41" r="I49">
        <v>102.17</v>
      </c>
      <c s="41" r="J49">
        <v>-41.78</v>
      </c>
      <c s="42" r="K49">
        <v>57.27</v>
      </c>
      <c s="42" r="L49">
        <v>92.30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2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159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43" r="C8">
        <v>8269558</v>
      </c>
      <c s="43" r="D8">
        <v>8130521</v>
      </c>
      <c s="43" r="E8">
        <v>8467868</v>
      </c>
      <c s="43" r="F8">
        <v>8563066</v>
      </c>
      <c s="43" r="G8">
        <v>9739829</v>
      </c>
      <c s="44" r="H8">
        <v>10447697</v>
      </c>
      <c s="43" r="I8">
        <v>9830668</v>
      </c>
      <c s="44" r="J8">
        <v>10115045</v>
      </c>
      <c s="44" r="K8">
        <v>10115045</v>
      </c>
      <c s="44" r="L8">
        <v>10115045</v>
      </c>
    </row>
    <row>
      <c s="22" r="A9">
        <v>2</v>
      </c>
      <c t="s" r="B9">
        <v>162</v>
      </c>
      <c s="33" r="C9">
        <v>89593</v>
      </c>
      <c s="34" r="D9">
        <v>111204</v>
      </c>
      <c s="34" r="E9">
        <v>125776</v>
      </c>
      <c s="34" r="F9">
        <v>130184</v>
      </c>
      <c s="34" r="G9">
        <v>116187</v>
      </c>
      <c s="34" r="H9">
        <v>129118</v>
      </c>
      <c s="34" r="I9">
        <v>114297</v>
      </c>
      <c s="34" r="J9">
        <v>106331</v>
      </c>
      <c s="34" r="K9">
        <v>106331</v>
      </c>
      <c s="34" r="L9">
        <v>106331</v>
      </c>
    </row>
    <row>
      <c s="22" r="A10">
        <v>3</v>
      </c>
      <c t="s" r="B10">
        <v>163</v>
      </c>
      <c s="33" r="C10">
        <v>92995</v>
      </c>
      <c s="34" r="D10">
        <v>155648</v>
      </c>
      <c s="34" r="E10">
        <v>159081</v>
      </c>
      <c s="34" r="F10">
        <v>168711</v>
      </c>
      <c s="34" r="G10">
        <v>126580</v>
      </c>
      <c s="34" r="H10">
        <v>126847</v>
      </c>
      <c s="34" r="I10">
        <v>121796</v>
      </c>
      <c s="34" r="J10">
        <v>131679</v>
      </c>
      <c s="34" r="K10">
        <v>131679</v>
      </c>
      <c s="34" r="L10">
        <v>131679</v>
      </c>
    </row>
    <row>
      <c s="22" r="A11">
        <v>4</v>
      </c>
      <c t="s" r="B11">
        <v>164</v>
      </c>
      <c s="34" r="C11">
        <v>524708</v>
      </c>
      <c s="34" r="D11">
        <v>722183</v>
      </c>
      <c s="34" r="E11">
        <v>877884</v>
      </c>
      <c s="34" r="F11">
        <v>720389</v>
      </c>
      <c s="34" r="G11">
        <v>748441</v>
      </c>
      <c s="34" r="H11">
        <v>889428</v>
      </c>
      <c s="34" r="I11">
        <v>858807</v>
      </c>
      <c s="34" r="J11">
        <v>619443</v>
      </c>
      <c s="34" r="K11">
        <v>731276</v>
      </c>
      <c s="34" r="L11">
        <v>711901</v>
      </c>
    </row>
    <row>
      <c s="22" r="A12">
        <v>5</v>
      </c>
      <c t="s" r="B12">
        <v>165</v>
      </c>
      <c s="34" r="C12">
        <v>547991</v>
      </c>
      <c s="34" r="D12">
        <v>516451</v>
      </c>
      <c s="34" r="E12">
        <v>512815</v>
      </c>
      <c s="34" r="F12">
        <v>381422</v>
      </c>
      <c s="34" r="G12">
        <v>414029</v>
      </c>
      <c s="34" r="H12">
        <v>506716</v>
      </c>
      <c s="34" r="I12">
        <v>517577</v>
      </c>
      <c s="34" r="J12">
        <v>445406</v>
      </c>
      <c s="34" r="K12">
        <v>686802</v>
      </c>
      <c s="34" r="L12">
        <v>685683</v>
      </c>
    </row>
    <row>
      <c s="22" r="A13">
        <v>6</v>
      </c>
      <c t="s" r="B13">
        <v>166</v>
      </c>
      <c s="33" r="C13">
        <v>38014</v>
      </c>
      <c s="33" r="D13">
        <v>11614</v>
      </c>
      <c s="33" r="E13">
        <v>11593</v>
      </c>
      <c s="23" r="F13">
        <v>6139</v>
      </c>
      <c s="23" r="G13">
        <v>5995</v>
      </c>
      <c s="23" r="H13">
        <v>7001</v>
      </c>
      <c s="23" r="I13">
        <v>4317</v>
      </c>
      <c s="23" r="J13">
        <v>3468</v>
      </c>
      <c s="23" r="K13">
        <v>5764</v>
      </c>
      <c s="23" r="L13">
        <v>5764</v>
      </c>
    </row>
    <row>
      <c s="22" r="A14">
        <v>7</v>
      </c>
      <c t="s" r="B14">
        <v>167</v>
      </c>
      <c s="35" r="C14">
        <v>281</v>
      </c>
      <c s="28" r="D14">
        <v>60</v>
      </c>
      <c t="s" r="E14"/>
      <c s="28" r="F14">
        <v>41</v>
      </c>
      <c s="35" r="G14">
        <v>383</v>
      </c>
      <c s="35" r="H14">
        <v>394</v>
      </c>
      <c s="35" r="I14">
        <v>394</v>
      </c>
      <c s="35" r="J14">
        <v>406</v>
      </c>
      <c s="35" r="K14">
        <v>406</v>
      </c>
      <c s="35" r="L14">
        <v>406</v>
      </c>
    </row>
    <row>
      <c s="20" t="s" r="A15"/>
      <c s="20" t="s" r="B15">
        <v>168</v>
      </c>
      <c s="45" r="C15">
        <v>9563140</v>
      </c>
      <c s="45" r="D15">
        <v>9647681</v>
      </c>
      <c s="46" r="E15">
        <v>10155017</v>
      </c>
      <c s="45" r="F15">
        <v>9969952</v>
      </c>
      <c s="46" r="G15">
        <v>11151444</v>
      </c>
      <c s="46" r="H15">
        <v>12107201</v>
      </c>
      <c s="46" r="I15">
        <v>11447856</v>
      </c>
      <c s="46" r="J15">
        <v>11421778</v>
      </c>
      <c s="46" r="K15">
        <v>11365972</v>
      </c>
      <c s="46" r="L15">
        <v>11347738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s="22" r="A17">
        <v>8</v>
      </c>
      <c t="s" r="B17">
        <v>169</v>
      </c>
      <c s="34" r="C17">
        <v>168892</v>
      </c>
      <c s="34" r="D17">
        <v>187740</v>
      </c>
      <c s="34" r="E17">
        <v>200547</v>
      </c>
      <c s="34" r="F17">
        <v>132397</v>
      </c>
      <c s="34" r="G17">
        <v>154810</v>
      </c>
      <c s="34" r="H17">
        <v>184638</v>
      </c>
      <c s="34" r="I17">
        <v>160457</v>
      </c>
      <c s="34" r="J17">
        <v>141003</v>
      </c>
      <c s="34" r="K17">
        <v>162033</v>
      </c>
      <c s="34" r="L17">
        <v>154498</v>
      </c>
    </row>
    <row>
      <c s="22" r="A18">
        <v>9</v>
      </c>
      <c t="s" r="B18">
        <v>170</v>
      </c>
      <c s="33" r="C18">
        <v>47755</v>
      </c>
      <c s="33" r="D18">
        <v>29588</v>
      </c>
      <c s="33" r="E18">
        <v>33787</v>
      </c>
      <c s="33" r="F18">
        <v>23623</v>
      </c>
      <c s="33" r="G18">
        <v>21707</v>
      </c>
      <c s="33" r="H18">
        <v>28298</v>
      </c>
      <c s="33" r="I18">
        <v>13188</v>
      </c>
      <c s="33" r="J18">
        <v>14413</v>
      </c>
      <c s="33" r="K18">
        <v>11982</v>
      </c>
      <c s="23" r="L18">
        <v>6543</v>
      </c>
    </row>
    <row>
      <c s="28" r="A19">
        <v>10</v>
      </c>
      <c t="s" r="B19">
        <v>171</v>
      </c>
      <c s="33" r="C19">
        <v>16000</v>
      </c>
      <c s="33" r="D19">
        <v>27607</v>
      </c>
      <c s="33" r="E19">
        <v>37353</v>
      </c>
      <c s="33" r="F19">
        <v>31447</v>
      </c>
      <c s="33" r="G19">
        <v>35571</v>
      </c>
      <c s="33" r="H19">
        <v>29853</v>
      </c>
      <c s="23" r="I19">
        <v>8676</v>
      </c>
      <c s="23" r="J19">
        <v>8939</v>
      </c>
      <c s="33" r="K19">
        <v>15823</v>
      </c>
      <c s="33" r="L19">
        <v>11146</v>
      </c>
    </row>
    <row>
      <c s="28" r="A20">
        <v>11</v>
      </c>
      <c t="s" r="B20">
        <v>172</v>
      </c>
      <c s="34" r="C20">
        <v>485229</v>
      </c>
      <c s="34" r="D20">
        <v>617187</v>
      </c>
      <c s="34" r="E20">
        <v>675817</v>
      </c>
      <c s="34" r="F20">
        <v>514861</v>
      </c>
      <c s="34" r="G20">
        <v>467321</v>
      </c>
      <c s="34" r="H20">
        <v>487840</v>
      </c>
      <c s="34" r="I20">
        <v>580330</v>
      </c>
      <c s="34" r="J20">
        <v>605675</v>
      </c>
      <c s="34" r="K20">
        <v>651793</v>
      </c>
      <c s="34" r="L20">
        <v>706444</v>
      </c>
    </row>
    <row>
      <c s="28" r="A21">
        <v>12</v>
      </c>
      <c t="s" r="B21">
        <v>173</v>
      </c>
      <c s="23" r="C21">
        <v>4421</v>
      </c>
      <c s="23" r="D21">
        <v>2599</v>
      </c>
      <c s="33" r="E21">
        <v>10021</v>
      </c>
      <c s="23" r="F21">
        <v>9044</v>
      </c>
      <c s="33" r="G21">
        <v>11220</v>
      </c>
      <c s="23" r="H21">
        <v>1237</v>
      </c>
      <c s="23" r="I21">
        <v>1885</v>
      </c>
      <c s="23" r="J21">
        <v>1209</v>
      </c>
      <c s="23" r="K21">
        <v>1444</v>
      </c>
      <c s="23" r="L21">
        <v>1513</v>
      </c>
    </row>
    <row>
      <c s="28" r="A22">
        <v>13</v>
      </c>
      <c t="s" r="B22">
        <v>174</v>
      </c>
      <c s="34" r="C22">
        <v>334019</v>
      </c>
      <c s="34" r="D22">
        <v>339423</v>
      </c>
      <c s="34" r="E22">
        <v>349235</v>
      </c>
      <c s="34" r="F22">
        <v>348211</v>
      </c>
      <c s="34" r="G22">
        <v>377971</v>
      </c>
      <c s="34" r="H22">
        <v>411734</v>
      </c>
      <c s="34" r="I22">
        <v>421088</v>
      </c>
      <c s="34" r="J22">
        <v>398530</v>
      </c>
      <c s="34" r="K22">
        <v>405383</v>
      </c>
      <c s="34" r="L22">
        <v>403266</v>
      </c>
    </row>
    <row>
      <c s="28" r="A23">
        <v>14</v>
      </c>
      <c t="s" r="B23">
        <v>175</v>
      </c>
      <c s="23" r="C23">
        <v>5976</v>
      </c>
      <c s="23" r="D23">
        <v>6016</v>
      </c>
      <c s="23" r="E23">
        <v>7664</v>
      </c>
      <c s="23" r="F23">
        <v>9759</v>
      </c>
      <c s="23" r="G23">
        <v>4494</v>
      </c>
      <c s="23" r="H23">
        <v>6376</v>
      </c>
      <c s="23" r="I23">
        <v>6659</v>
      </c>
      <c s="23" r="J23">
        <v>4809</v>
      </c>
      <c s="23" r="K23">
        <v>5948</v>
      </c>
      <c s="23" r="L23">
        <v>5805</v>
      </c>
    </row>
    <row>
      <c s="20" t="s" r="A24"/>
      <c s="20" t="s" r="B24">
        <v>176</v>
      </c>
      <c s="46" r="C24">
        <v>10625432</v>
      </c>
      <c s="46" r="D24">
        <v>10857841</v>
      </c>
      <c s="46" r="E24">
        <v>11469441</v>
      </c>
      <c s="46" r="F24">
        <v>11039294</v>
      </c>
      <c s="46" r="G24">
        <v>12224538</v>
      </c>
      <c s="46" r="H24">
        <v>13257177</v>
      </c>
      <c s="46" r="I24">
        <v>12640139</v>
      </c>
      <c s="46" r="J24">
        <v>12596356</v>
      </c>
      <c s="46" r="K24">
        <v>13031709</v>
      </c>
      <c s="46" r="L24">
        <v>13046024</v>
      </c>
    </row>
    <row>
      <c t="s" r="A25"/>
      <c t="s" r="B25"/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t="s" r="A26"/>
      <c s="20" t="s" r="B26">
        <v>177</v>
      </c>
      <c t="s" r="C26"/>
      <c t="s" r="D26"/>
      <c t="s" r="E26"/>
      <c t="s" r="F26"/>
      <c t="s" r="G26"/>
      <c t="s" r="H26"/>
      <c t="s" r="I26"/>
      <c t="s" r="J26"/>
      <c t="s" r="K26"/>
      <c t="s" r="L26"/>
    </row>
    <row>
      <c s="28" r="A27">
        <v>15</v>
      </c>
      <c t="s" r="B27">
        <v>178</v>
      </c>
      <c s="34" r="C27">
        <v>173174</v>
      </c>
      <c s="34" r="D27">
        <v>212926</v>
      </c>
      <c s="34" r="E27">
        <v>299488</v>
      </c>
      <c s="34" r="F27">
        <v>267866</v>
      </c>
      <c s="34" r="G27">
        <v>267818</v>
      </c>
      <c s="34" r="H27">
        <v>437434</v>
      </c>
      <c s="34" r="I27">
        <v>439769</v>
      </c>
      <c s="34" r="J27">
        <v>404719</v>
      </c>
      <c s="34" r="K27">
        <v>375000</v>
      </c>
      <c s="34" r="L27">
        <v>350000</v>
      </c>
    </row>
    <row>
      <c s="28" r="A28">
        <v>16</v>
      </c>
      <c t="s" r="B28">
        <v>179</v>
      </c>
      <c s="34" r="C28">
        <v>873713</v>
      </c>
      <c s="34" r="D28">
        <v>950278</v>
      </c>
      <c s="43" r="E28">
        <v>1189871</v>
      </c>
      <c s="43" r="F28">
        <v>1316289</v>
      </c>
      <c s="43" r="G28">
        <v>1043764</v>
      </c>
      <c s="34" r="H28">
        <v>966909</v>
      </c>
      <c s="43" r="I28">
        <v>1288075</v>
      </c>
      <c s="43" r="J28">
        <v>1287275</v>
      </c>
      <c s="43" r="K28">
        <v>1290000</v>
      </c>
      <c s="43" r="L28">
        <v>1295000</v>
      </c>
    </row>
    <row>
      <c s="28" r="A29">
        <v>17</v>
      </c>
      <c t="inlineStr" r="B29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43" r="C29">
        <v>1426829</v>
      </c>
      <c s="43" r="D29">
        <v>1463584</v>
      </c>
      <c s="43" r="E29">
        <v>1562643</v>
      </c>
      <c s="43" r="F29">
        <v>1377548</v>
      </c>
      <c s="43" r="G29">
        <v>1894259</v>
      </c>
      <c s="43" r="H29">
        <v>1913804</v>
      </c>
      <c s="43" r="I29">
        <v>1944182</v>
      </c>
      <c s="43" r="J29">
        <v>2014293</v>
      </c>
      <c s="43" r="K29">
        <v>1972269</v>
      </c>
      <c s="43" r="L29">
        <v>1975175</v>
      </c>
    </row>
    <row>
      <c s="28" r="A30">
        <v>18</v>
      </c>
      <c t="s" r="B30">
        <v>180</v>
      </c>
      <c s="43" r="C30">
        <v>8151716</v>
      </c>
      <c s="43" r="D30">
        <v>8231053</v>
      </c>
      <c s="43" r="E30">
        <v>8417439</v>
      </c>
      <c s="43" r="F30">
        <v>8077591</v>
      </c>
      <c s="43" r="G30">
        <v>9018697</v>
      </c>
      <c s="43" r="H30">
        <v>9939030</v>
      </c>
      <c s="43" r="I30">
        <v>8968113</v>
      </c>
      <c s="43" r="J30">
        <v>8890069</v>
      </c>
      <c s="43" r="K30">
        <v>9394440</v>
      </c>
      <c s="43" r="L30">
        <v>9425849</v>
      </c>
    </row>
    <row>
      <c s="20" t="s" r="A31"/>
      <c s="20" t="s" r="B31">
        <v>181</v>
      </c>
      <c s="46" r="C31">
        <v>10625432</v>
      </c>
      <c s="46" r="D31">
        <v>10857841</v>
      </c>
      <c s="46" r="E31">
        <v>11469441</v>
      </c>
      <c s="46" r="F31">
        <v>11039294</v>
      </c>
      <c s="46" r="G31">
        <v>12224538</v>
      </c>
      <c s="46" r="H31">
        <v>13257177</v>
      </c>
      <c s="46" r="I31">
        <v>12640139</v>
      </c>
      <c s="46" r="J31">
        <v>12596356</v>
      </c>
      <c s="20" t="s" r="K31"/>
      <c s="20" t="s" r="L31"/>
    </row>
    <row>
      <c t="s" r="A32"/>
      <c t="s" r="B32"/>
      <c t="s" r="C32"/>
      <c t="s" r="D32"/>
      <c t="s" r="E32"/>
      <c t="s" r="F32"/>
      <c t="s" r="G32"/>
      <c t="s" r="H32"/>
      <c t="s" r="I32"/>
      <c t="s" r="J32"/>
      <c t="s" r="K32"/>
      <c t="s" r="L32"/>
    </row>
    <row>
      <c s="28" r="A33">
        <v>19</v>
      </c>
      <c t="s" r="B33">
        <v>182</v>
      </c>
      <c s="23" r="C33">
        <v>4026</v>
      </c>
      <c s="23" r="D33">
        <v>4758</v>
      </c>
      <c s="23" r="E33">
        <v>4888</v>
      </c>
      <c s="23" r="F33">
        <v>5004</v>
      </c>
      <c s="23" r="G33">
        <v>4746</v>
      </c>
      <c s="23" r="H33">
        <v>4477</v>
      </c>
      <c s="23" r="I33">
        <v>4761</v>
      </c>
      <c s="23" r="J33">
        <v>4984</v>
      </c>
      <c s="23" r="K33">
        <v>4273</v>
      </c>
      <c s="23" r="L33">
        <v>4188</v>
      </c>
    </row>
    <row>
      <c s="28" r="A34">
        <v>20</v>
      </c>
      <c t="s" r="B34">
        <v>183</v>
      </c>
      <c s="35" r="C34">
        <v>451</v>
      </c>
      <c s="35" r="D34">
        <v>431</v>
      </c>
      <c s="35" r="E34">
        <v>488</v>
      </c>
      <c s="35" r="F34">
        <v>478</v>
      </c>
      <c s="35" r="G34">
        <v>456</v>
      </c>
      <c s="35" r="H34">
        <v>442</v>
      </c>
      <c s="35" r="I34">
        <v>500</v>
      </c>
      <c s="35" r="J34">
        <v>438</v>
      </c>
      <c s="35" r="K34">
        <v>423</v>
      </c>
      <c s="35" r="L34">
        <v>455</v>
      </c>
    </row>
    <row>
      <c s="28" r="A35">
        <v>21</v>
      </c>
      <c t="s" r="B35">
        <v>184</v>
      </c>
      <c s="28" r="C35">
        <v>69</v>
      </c>
      <c s="28" r="D35">
        <v>18</v>
      </c>
      <c s="28" r="E35">
        <v>18</v>
      </c>
      <c s="28" r="F35">
        <v>20</v>
      </c>
      <c s="28" r="G35">
        <v>19</v>
      </c>
      <c s="28" r="H35">
        <v>21</v>
      </c>
      <c s="28" r="I35">
        <v>12</v>
      </c>
      <c s="28" r="J35">
        <v>11</v>
      </c>
      <c s="22" r="K35">
        <v>6</v>
      </c>
      <c s="28" r="L35">
        <v>12</v>
      </c>
    </row>
    <row>
      <c s="38" r="A36">
        <v>22</v>
      </c>
      <c s="20" t="s" r="B36">
        <v>71</v>
      </c>
      <c s="47" r="C36">
        <v>5862</v>
      </c>
      <c s="47" r="D36">
        <v>6157</v>
      </c>
      <c s="47" r="E36">
        <v>6625</v>
      </c>
      <c s="47" r="F36">
        <v>6651</v>
      </c>
      <c s="47" r="G36">
        <v>6279</v>
      </c>
      <c s="47" r="H36">
        <v>5990</v>
      </c>
      <c s="47" r="I36">
        <v>6527</v>
      </c>
      <c s="47" r="J36">
        <v>6546</v>
      </c>
      <c s="47" r="K36">
        <v>5697</v>
      </c>
      <c s="47" r="L36">
        <v>5860</v>
      </c>
    </row>
    <row>
      <c s="28" r="A37">
        <v>23</v>
      </c>
      <c t="s" r="B37">
        <v>185</v>
      </c>
      <c s="23" r="C37">
        <v>1593</v>
      </c>
      <c s="23" r="D37">
        <v>1718</v>
      </c>
      <c s="23" r="E37">
        <v>1668</v>
      </c>
      <c s="23" r="F37">
        <v>1596</v>
      </c>
      <c s="23" r="G37">
        <v>1597</v>
      </c>
      <c s="23" r="H37">
        <v>1414</v>
      </c>
      <c s="23" r="I37">
        <v>1432</v>
      </c>
      <c s="23" r="J37">
        <v>1416</v>
      </c>
      <c s="23" r="K37">
        <v>1416</v>
      </c>
      <c s="23" r="L37">
        <v>1416</v>
      </c>
    </row>
    <row>
      <c t="s" r="A38"/>
      <c t="s" r="B38"/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t="inlineStr" r="B39">
        <is xml:space="preserve">
          <r>
            <rPr>
              <color rgb="FFFF0000"/>
              <sz val="14"/>
            </rPr>
            <t>*</t>
          </r>
          <r>
            <rPr/>
            <t>Reserves shown in line 17 is not cash but a value that recognises that all (owned and leased) assets, e.g. leased land, are included under Assets at current market value.</t>
          </r>
        </is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48" t="s" r="B40">
        <v>186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t="s" r="B41"/>
      <c t="s" r="C41"/>
      <c t="s" r="D41"/>
      <c t="s" r="E41"/>
      <c t="s" r="F41"/>
      <c t="s" r="G41"/>
      <c t="s" r="H41"/>
      <c t="s" r="I41"/>
      <c t="s" r="J41"/>
      <c t="s" r="K41"/>
      <c t="s" r="L41"/>
    </row>
    <row>
      <c t="s" r="A42"/>
      <c s="21" t="s" r="B42">
        <v>102</v>
      </c>
      <c s="32" r="C42">
        <f>_xlfn.HYPERLINK("mailto:econ@beeflambnz.com","econ@beeflambnz.com")</f>
      </c>
      <c t="s" r="D42"/>
      <c t="s" r="E42"/>
      <c s="19" t="s" r="F42">
        <v>54</v>
      </c>
      <c t="s" r="G42"/>
      <c t="s" r="H42"/>
      <c t="s" r="I42"/>
      <c t="s" r="J42"/>
      <c t="s" r="K42"/>
      <c s="21" t="s" r="L42">
        <v>103</v>
      </c>
    </row>
  </sheetData>
  <mergeCells count="1">
    <mergeCell ref="C42:E42"/>
  </mergeCells>
  <hyperlinks>
    <hyperlink ref="L2" location="Notes!A1" display="Notes tab"/>
    <hyperlink ref="F42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187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31" r="C8">
        <v>1410.71</v>
      </c>
      <c s="31" r="D8">
        <v>1320.53</v>
      </c>
      <c s="31" r="E8">
        <v>1278.17</v>
      </c>
      <c s="31" r="F8">
        <v>1287.49</v>
      </c>
      <c s="31" r="G8">
        <v>1551.18</v>
      </c>
      <c s="31" r="H8">
        <v>1744.19</v>
      </c>
      <c s="31" r="I8">
        <v>1506.15</v>
      </c>
      <c s="31" r="J8">
        <v>1545.23</v>
      </c>
      <c s="31" r="K8">
        <v>1775.50</v>
      </c>
      <c s="31" r="L8">
        <v>1726.12</v>
      </c>
    </row>
    <row>
      <c s="22" r="A9">
        <v>2</v>
      </c>
      <c t="s" r="B9">
        <v>162</v>
      </c>
      <c s="29" r="C9">
        <v>15.28</v>
      </c>
      <c s="29" r="D9">
        <v>18.06</v>
      </c>
      <c s="29" r="E9">
        <v>18.99</v>
      </c>
      <c s="29" r="F9">
        <v>19.57</v>
      </c>
      <c s="29" r="G9">
        <v>18.50</v>
      </c>
      <c s="29" r="H9">
        <v>21.56</v>
      </c>
      <c s="29" r="I9">
        <v>17.51</v>
      </c>
      <c s="29" r="J9">
        <v>16.24</v>
      </c>
      <c s="29" r="K9">
        <v>18.66</v>
      </c>
      <c s="29" r="L9">
        <v>18.15</v>
      </c>
    </row>
    <row>
      <c s="22" r="A10">
        <v>3</v>
      </c>
      <c t="s" r="B10">
        <v>163</v>
      </c>
      <c s="29" r="C10">
        <v>15.86</v>
      </c>
      <c s="29" r="D10">
        <v>25.28</v>
      </c>
      <c s="29" r="E10">
        <v>24.01</v>
      </c>
      <c s="29" r="F10">
        <v>25.37</v>
      </c>
      <c s="29" r="G10">
        <v>20.16</v>
      </c>
      <c s="29" r="H10">
        <v>21.18</v>
      </c>
      <c s="29" r="I10">
        <v>18.66</v>
      </c>
      <c s="29" r="J10">
        <v>20.12</v>
      </c>
      <c s="29" r="K10">
        <v>23.11</v>
      </c>
      <c s="29" r="L10">
        <v>22.47</v>
      </c>
    </row>
    <row>
      <c s="22" r="A11">
        <v>4</v>
      </c>
      <c t="s" r="B11">
        <v>164</v>
      </c>
      <c s="30" r="C11">
        <v>144.71</v>
      </c>
      <c s="30" r="D11">
        <v>169.73</v>
      </c>
      <c s="30" r="E11">
        <v>197.23</v>
      </c>
      <c s="30" r="F11">
        <v>160.59</v>
      </c>
      <c s="30" r="G11">
        <v>177.36</v>
      </c>
      <c s="30" r="H11">
        <v>224.66</v>
      </c>
      <c s="30" r="I11">
        <v>199.82</v>
      </c>
      <c s="30" r="J11">
        <v>138.33</v>
      </c>
      <c s="30" r="K11">
        <v>193.56</v>
      </c>
      <c s="30" r="L11">
        <v>189.64</v>
      </c>
    </row>
    <row>
      <c s="22" r="A12">
        <v>5</v>
      </c>
      <c t="s" r="B12">
        <v>165</v>
      </c>
      <c s="30" r="C12">
        <v>282.25</v>
      </c>
      <c s="30" r="D12">
        <v>299.05</v>
      </c>
      <c s="30" r="E12">
        <v>256.41</v>
      </c>
      <c s="30" r="F12">
        <v>186.29</v>
      </c>
      <c s="30" r="G12">
        <v>210.59</v>
      </c>
      <c s="30" r="H12">
        <v>264.47</v>
      </c>
      <c s="30" r="I12">
        <v>246.76</v>
      </c>
      <c s="30" r="J12">
        <v>224.16</v>
      </c>
      <c s="30" r="K12">
        <v>370.44</v>
      </c>
      <c s="30" r="L12">
        <v>346.65</v>
      </c>
    </row>
    <row>
      <c s="22" r="A13">
        <v>6</v>
      </c>
      <c t="s" r="B13">
        <v>166</v>
      </c>
      <c s="30" r="C13">
        <v>319.45</v>
      </c>
      <c s="30" r="D13">
        <v>374.65</v>
      </c>
      <c s="30" r="E13">
        <v>386.43</v>
      </c>
      <c s="30" r="F13">
        <v>191.84</v>
      </c>
      <c s="30" r="G13">
        <v>199.83</v>
      </c>
      <c s="30" r="H13">
        <v>205.91</v>
      </c>
      <c s="30" r="I13">
        <v>227.21</v>
      </c>
      <c s="30" r="J13">
        <v>192.67</v>
      </c>
      <c s="30" r="K13">
        <v>524.00</v>
      </c>
      <c s="30" r="L13">
        <v>288.20</v>
      </c>
    </row>
    <row>
      <c s="20" t="s" r="A14"/>
      <c s="20" t="s" r="B14">
        <v>168</v>
      </c>
      <c s="49" r="C14">
        <v>1631.38</v>
      </c>
      <c s="49" r="D14">
        <v>1566.95</v>
      </c>
      <c s="49" r="E14">
        <v>1532.83</v>
      </c>
      <c s="49" r="F14">
        <v>1499.02</v>
      </c>
      <c s="49" r="G14">
        <v>1775.99</v>
      </c>
      <c s="49" r="H14">
        <v>2021.24</v>
      </c>
      <c s="49" r="I14">
        <v>1753.92</v>
      </c>
      <c s="49" r="J14">
        <v>1744.85</v>
      </c>
      <c s="49" r="K14">
        <v>1995.08</v>
      </c>
      <c s="49" r="L14">
        <v>1936.47</v>
      </c>
    </row>
    <row>
      <c t="s" r="A15"/>
      <c t="s" r="B15"/>
      <c t="s" r="C15"/>
      <c t="s" r="D15"/>
      <c t="s" r="E15"/>
      <c t="s" r="F15"/>
      <c t="s" r="G15"/>
      <c t="s" r="H15"/>
      <c t="s" r="I15"/>
      <c t="s" r="J15"/>
      <c t="s" r="K15"/>
      <c t="s" r="L15"/>
    </row>
    <row>
      <c s="22" r="A16">
        <v>7</v>
      </c>
      <c t="s" r="B16">
        <v>169</v>
      </c>
      <c s="29" r="C16">
        <v>28.81</v>
      </c>
      <c s="29" r="D16">
        <v>30.49</v>
      </c>
      <c s="29" r="E16">
        <v>30.27</v>
      </c>
      <c s="29" r="F16">
        <v>19.91</v>
      </c>
      <c s="29" r="G16">
        <v>24.66</v>
      </c>
      <c s="29" r="H16">
        <v>30.82</v>
      </c>
      <c s="29" r="I16">
        <v>24.58</v>
      </c>
      <c s="29" r="J16">
        <v>21.54</v>
      </c>
      <c s="29" r="K16">
        <v>28.44</v>
      </c>
      <c s="29" r="L16">
        <v>26.36</v>
      </c>
    </row>
    <row>
      <c s="22" r="A17">
        <v>8</v>
      </c>
      <c t="s" r="B17">
        <v>170</v>
      </c>
      <c s="24" r="C17">
        <v>8.15</v>
      </c>
      <c s="24" r="D17">
        <v>4.81</v>
      </c>
      <c s="24" r="E17">
        <v>5.10</v>
      </c>
      <c s="24" r="F17">
        <v>3.55</v>
      </c>
      <c s="24" r="G17">
        <v>3.46</v>
      </c>
      <c s="24" r="H17">
        <v>4.72</v>
      </c>
      <c s="24" r="I17">
        <v>2.02</v>
      </c>
      <c s="24" r="J17">
        <v>2.20</v>
      </c>
      <c s="24" r="K17">
        <v>2.10</v>
      </c>
      <c s="24" r="L17">
        <v>1.12</v>
      </c>
    </row>
    <row>
      <c s="22" r="A18">
        <v>9</v>
      </c>
      <c t="s" r="B18">
        <v>171</v>
      </c>
      <c s="24" r="C18">
        <v>2.73</v>
      </c>
      <c s="24" r="D18">
        <v>4.48</v>
      </c>
      <c s="24" r="E18">
        <v>5.64</v>
      </c>
      <c s="24" r="F18">
        <v>4.73</v>
      </c>
      <c s="24" r="G18">
        <v>5.67</v>
      </c>
      <c s="24" r="H18">
        <v>4.98</v>
      </c>
      <c s="24" r="I18">
        <v>1.33</v>
      </c>
      <c s="24" r="J18">
        <v>1.37</v>
      </c>
      <c s="24" r="K18">
        <v>2.78</v>
      </c>
      <c s="24" r="L18">
        <v>1.90</v>
      </c>
    </row>
    <row>
      <c s="28" r="A19">
        <v>10</v>
      </c>
      <c t="s" r="B19">
        <v>172</v>
      </c>
      <c s="29" r="C19">
        <v>82.78</v>
      </c>
      <c s="30" r="D19">
        <v>100.24</v>
      </c>
      <c s="30" r="E19">
        <v>102.01</v>
      </c>
      <c s="29" r="F19">
        <v>77.41</v>
      </c>
      <c s="29" r="G19">
        <v>74.43</v>
      </c>
      <c s="29" r="H19">
        <v>81.44</v>
      </c>
      <c s="29" r="I19">
        <v>88.91</v>
      </c>
      <c s="29" r="J19">
        <v>92.53</v>
      </c>
      <c s="30" r="K19">
        <v>114.41</v>
      </c>
      <c s="30" r="L19">
        <v>120.55</v>
      </c>
    </row>
    <row>
      <c s="28" r="A20">
        <v>11</v>
      </c>
      <c t="s" r="B20">
        <v>173</v>
      </c>
      <c s="24" r="C20">
        <v>0.75</v>
      </c>
      <c s="24" r="D20">
        <v>0.42</v>
      </c>
      <c s="24" r="E20">
        <v>1.51</v>
      </c>
      <c s="24" r="F20">
        <v>1.36</v>
      </c>
      <c s="24" r="G20">
        <v>1.79</v>
      </c>
      <c s="24" r="H20">
        <v>0.21</v>
      </c>
      <c s="24" r="I20">
        <v>0.29</v>
      </c>
      <c s="24" r="J20">
        <v>0.18</v>
      </c>
      <c s="24" r="K20">
        <v>0.25</v>
      </c>
      <c s="24" r="L20">
        <v>0.26</v>
      </c>
    </row>
    <row>
      <c s="28" r="A21">
        <v>12</v>
      </c>
      <c t="s" r="B21">
        <v>174</v>
      </c>
      <c s="29" r="C21">
        <v>56.98</v>
      </c>
      <c s="29" r="D21">
        <v>55.13</v>
      </c>
      <c s="29" r="E21">
        <v>52.71</v>
      </c>
      <c s="29" r="F21">
        <v>52.35</v>
      </c>
      <c s="29" r="G21">
        <v>60.20</v>
      </c>
      <c s="29" r="H21">
        <v>68.74</v>
      </c>
      <c s="29" r="I21">
        <v>64.51</v>
      </c>
      <c s="29" r="J21">
        <v>60.88</v>
      </c>
      <c s="29" r="K21">
        <v>71.16</v>
      </c>
      <c s="29" r="L21">
        <v>68.82</v>
      </c>
    </row>
    <row>
      <c s="28" r="A22">
        <v>13</v>
      </c>
      <c t="s" r="B22">
        <v>175</v>
      </c>
      <c s="24" r="C22">
        <v>1.02</v>
      </c>
      <c s="24" r="D22">
        <v>0.98</v>
      </c>
      <c s="24" r="E22">
        <v>1.16</v>
      </c>
      <c s="24" r="F22">
        <v>1.47</v>
      </c>
      <c s="24" r="G22">
        <v>0.72</v>
      </c>
      <c s="24" r="H22">
        <v>1.06</v>
      </c>
      <c s="24" r="I22">
        <v>1.02</v>
      </c>
      <c s="24" r="J22">
        <v>0.73</v>
      </c>
      <c s="24" r="K22">
        <v>1.04</v>
      </c>
      <c s="24" r="L22">
        <v>0.99</v>
      </c>
    </row>
    <row>
      <c s="20" t="s" r="A23"/>
      <c s="20" t="s" r="B23">
        <v>176</v>
      </c>
      <c s="49" r="C23">
        <v>1812.60</v>
      </c>
      <c s="49" r="D23">
        <v>1763.50</v>
      </c>
      <c s="49" r="E23">
        <v>1731.24</v>
      </c>
      <c s="49" r="F23">
        <v>1659.79</v>
      </c>
      <c s="49" r="G23">
        <v>1946.89</v>
      </c>
      <c s="49" r="H23">
        <v>2213.22</v>
      </c>
      <c s="49" r="I23">
        <v>1936.59</v>
      </c>
      <c s="49" r="J23">
        <v>1924.28</v>
      </c>
      <c s="49" r="K23">
        <v>2287.47</v>
      </c>
      <c s="49" r="L23">
        <v>2226.28</v>
      </c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</row>
    <row>
      <c t="s" r="A25"/>
      <c s="20" t="s" r="B25">
        <v>177</v>
      </c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s="28" r="A26">
        <v>14</v>
      </c>
      <c t="s" r="B26">
        <v>178</v>
      </c>
      <c s="29" r="C26">
        <v>29.54</v>
      </c>
      <c s="29" r="D26">
        <v>34.58</v>
      </c>
      <c s="29" r="E26">
        <v>45.21</v>
      </c>
      <c s="29" r="F26">
        <v>40.27</v>
      </c>
      <c s="29" r="G26">
        <v>42.65</v>
      </c>
      <c s="29" r="H26">
        <v>73.03</v>
      </c>
      <c s="29" r="I26">
        <v>67.38</v>
      </c>
      <c s="29" r="J26">
        <v>61.83</v>
      </c>
      <c s="29" r="K26">
        <v>65.82</v>
      </c>
      <c s="29" r="L26">
        <v>59.73</v>
      </c>
    </row>
    <row>
      <c s="28" r="A27">
        <v>15</v>
      </c>
      <c t="s" r="B27">
        <v>179</v>
      </c>
      <c s="30" r="C27">
        <v>149.05</v>
      </c>
      <c s="30" r="D27">
        <v>154.34</v>
      </c>
      <c s="30" r="E27">
        <v>179.60</v>
      </c>
      <c s="30" r="F27">
        <v>197.91</v>
      </c>
      <c s="30" r="G27">
        <v>166.23</v>
      </c>
      <c s="30" r="H27">
        <v>161.42</v>
      </c>
      <c s="30" r="I27">
        <v>197.35</v>
      </c>
      <c s="30" r="J27">
        <v>196.65</v>
      </c>
      <c s="30" r="K27">
        <v>226.43</v>
      </c>
      <c s="30" r="L27">
        <v>220.99</v>
      </c>
    </row>
    <row>
      <c s="28" r="A28">
        <v>16</v>
      </c>
      <c t="inlineStr" r="B28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30" r="C28">
        <v>243.40</v>
      </c>
      <c s="30" r="D28">
        <v>237.71</v>
      </c>
      <c s="30" r="E28">
        <v>235.87</v>
      </c>
      <c s="30" r="F28">
        <v>207.12</v>
      </c>
      <c s="30" r="G28">
        <v>301.68</v>
      </c>
      <c s="30" r="H28">
        <v>319.50</v>
      </c>
      <c s="30" r="I28">
        <v>297.87</v>
      </c>
      <c s="30" r="J28">
        <v>307.71</v>
      </c>
      <c s="30" r="K28">
        <v>346.19</v>
      </c>
      <c s="30" r="L28">
        <v>337.06</v>
      </c>
    </row>
    <row>
      <c s="28" r="A29">
        <v>17</v>
      </c>
      <c t="s" r="B29">
        <v>180</v>
      </c>
      <c s="31" r="C29">
        <v>1390.60</v>
      </c>
      <c s="31" r="D29">
        <v>1336.86</v>
      </c>
      <c s="31" r="E29">
        <v>1270.56</v>
      </c>
      <c s="31" r="F29">
        <v>1214.49</v>
      </c>
      <c s="31" r="G29">
        <v>1436.33</v>
      </c>
      <c s="31" r="H29">
        <v>1659.27</v>
      </c>
      <c s="31" r="I29">
        <v>1374.00</v>
      </c>
      <c s="31" r="J29">
        <v>1358.09</v>
      </c>
      <c s="31" r="K29">
        <v>1649.02</v>
      </c>
      <c s="31" r="L29">
        <v>1608.51</v>
      </c>
    </row>
    <row>
      <c s="20" t="s" r="A30"/>
      <c s="20" t="s" r="B30">
        <v>181</v>
      </c>
      <c s="49" r="C30">
        <v>1812.60</v>
      </c>
      <c s="49" r="D30">
        <v>1763.50</v>
      </c>
      <c s="49" r="E30">
        <v>1731.24</v>
      </c>
      <c s="49" r="F30">
        <v>1659.79</v>
      </c>
      <c s="49" r="G30">
        <v>1946.89</v>
      </c>
      <c s="49" r="H30">
        <v>2213.22</v>
      </c>
      <c s="49" r="I30">
        <v>1936.59</v>
      </c>
      <c s="49" r="J30">
        <v>1924.28</v>
      </c>
      <c s="20" t="s" r="K30"/>
      <c s="20" t="s" r="L30"/>
    </row>
    <row>
      <c t="s" r="A31"/>
      <c t="s" r="B31"/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s="28" r="A32">
        <v>18</v>
      </c>
      <c t="s" r="B32">
        <v>182</v>
      </c>
      <c s="23" r="C32">
        <v>4026</v>
      </c>
      <c s="23" r="D32">
        <v>4758</v>
      </c>
      <c s="23" r="E32">
        <v>4888</v>
      </c>
      <c s="23" r="F32">
        <v>5004</v>
      </c>
      <c s="23" r="G32">
        <v>4746</v>
      </c>
      <c s="23" r="H32">
        <v>4477</v>
      </c>
      <c s="23" r="I32">
        <v>4761</v>
      </c>
      <c s="23" r="J32">
        <v>4984</v>
      </c>
      <c s="23" r="K32">
        <v>4273</v>
      </c>
      <c s="23" r="L32">
        <v>4188</v>
      </c>
    </row>
    <row>
      <c s="28" r="A33">
        <v>19</v>
      </c>
      <c t="s" r="B33">
        <v>183</v>
      </c>
      <c s="35" r="C33">
        <v>451</v>
      </c>
      <c s="35" r="D33">
        <v>431</v>
      </c>
      <c s="35" r="E33">
        <v>488</v>
      </c>
      <c s="35" r="F33">
        <v>478</v>
      </c>
      <c s="35" r="G33">
        <v>456</v>
      </c>
      <c s="35" r="H33">
        <v>442</v>
      </c>
      <c s="35" r="I33">
        <v>500</v>
      </c>
      <c s="35" r="J33">
        <v>438</v>
      </c>
      <c s="35" r="K33">
        <v>423</v>
      </c>
      <c s="35" r="L33">
        <v>455</v>
      </c>
    </row>
    <row>
      <c s="28" r="A34">
        <v>20</v>
      </c>
      <c t="s" r="B34">
        <v>184</v>
      </c>
      <c s="28" r="C34">
        <v>69</v>
      </c>
      <c s="28" r="D34">
        <v>18</v>
      </c>
      <c s="28" r="E34">
        <v>18</v>
      </c>
      <c s="28" r="F34">
        <v>20</v>
      </c>
      <c s="28" r="G34">
        <v>19</v>
      </c>
      <c s="28" r="H34">
        <v>21</v>
      </c>
      <c s="28" r="I34">
        <v>12</v>
      </c>
      <c s="28" r="J34">
        <v>11</v>
      </c>
      <c s="22" r="K34">
        <v>6</v>
      </c>
      <c s="28" r="L34">
        <v>12</v>
      </c>
    </row>
    <row>
      <c s="38" r="A35">
        <v>21</v>
      </c>
      <c s="20" t="s" r="B35">
        <v>71</v>
      </c>
      <c s="47" r="C35">
        <v>5862</v>
      </c>
      <c s="47" r="D35">
        <v>6157</v>
      </c>
      <c s="47" r="E35">
        <v>6625</v>
      </c>
      <c s="47" r="F35">
        <v>6651</v>
      </c>
      <c s="47" r="G35">
        <v>6279</v>
      </c>
      <c s="47" r="H35">
        <v>5990</v>
      </c>
      <c s="47" r="I35">
        <v>6527</v>
      </c>
      <c s="47" r="J35">
        <v>6546</v>
      </c>
      <c s="47" r="K35">
        <v>5697</v>
      </c>
      <c s="47" r="L35">
        <v>5860</v>
      </c>
    </row>
    <row>
      <c s="28" r="A36">
        <v>22</v>
      </c>
      <c t="s" r="B36">
        <v>185</v>
      </c>
      <c s="23" r="C36">
        <v>1593</v>
      </c>
      <c s="23" r="D36">
        <v>1718</v>
      </c>
      <c s="23" r="E36">
        <v>1668</v>
      </c>
      <c s="23" r="F36">
        <v>1596</v>
      </c>
      <c s="23" r="G36">
        <v>1597</v>
      </c>
      <c s="23" r="H36">
        <v>1414</v>
      </c>
      <c s="23" r="I36">
        <v>1432</v>
      </c>
      <c s="23" r="J36">
        <v>1416</v>
      </c>
      <c s="23" r="K36">
        <v>1416</v>
      </c>
      <c s="23" r="L36">
        <v>1416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t="s" r="A38"/>
      <c t="inlineStr" r="B38">
        <is xml:space="preserve">
          <r>
            <rPr>
              <color rgb="FFFF0000"/>
              <sz val="14"/>
            </rPr>
            <t>*</t>
          </r>
          <r>
            <rPr/>
            <t>Reserves shown in line 16 is not cash but a value that recognises that all (owned and leased) assets, e.g. leased land, are included under Assets at current market value.</t>
          </r>
        </is>
      </c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s="48" t="s" r="B39">
        <v>188</v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t="s" r="B40"/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s="21" t="s" r="B41">
        <v>102</v>
      </c>
      <c s="32" r="C41">
        <f>_xlfn.HYPERLINK("mailto:econ@beeflambnz.com","econ@beeflambnz.com")</f>
      </c>
      <c t="s" r="D41"/>
      <c t="s" r="E41"/>
      <c s="19" t="s" r="F41">
        <v>54</v>
      </c>
      <c t="s" r="G41"/>
      <c t="s" r="H41"/>
      <c t="s" r="I41"/>
      <c t="s" r="J41"/>
      <c t="s" r="K41"/>
      <c s="21" t="s" r="L41">
        <v>103</v>
      </c>
    </row>
  </sheetData>
  <mergeCells count="1">
    <mergeCell ref="C41:E41"/>
  </mergeCells>
  <hyperlinks>
    <hyperlink ref="L2" location="Notes!A1" display="Notes tab"/>
    <hyperlink ref="F4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189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31" r="C8">
        <v>5191.19</v>
      </c>
      <c s="31" r="D8">
        <v>4732.55</v>
      </c>
      <c s="31" r="E8">
        <v>5076.66</v>
      </c>
      <c s="31" r="F8">
        <v>5365.33</v>
      </c>
      <c s="31" r="G8">
        <v>6098.83</v>
      </c>
      <c s="31" r="H8">
        <v>7388.75</v>
      </c>
      <c s="31" r="I8">
        <v>6864.99</v>
      </c>
      <c s="31" r="J8">
        <v>7143.39</v>
      </c>
      <c s="31" r="K8">
        <v>7143.39</v>
      </c>
      <c s="31" r="L8">
        <v>7143.39</v>
      </c>
    </row>
    <row>
      <c s="22" r="A9">
        <v>2</v>
      </c>
      <c t="s" r="B9">
        <v>162</v>
      </c>
      <c s="29" r="C9">
        <v>56.24</v>
      </c>
      <c s="29" r="D9">
        <v>64.73</v>
      </c>
      <c s="29" r="E9">
        <v>75.41</v>
      </c>
      <c s="29" r="F9">
        <v>81.57</v>
      </c>
      <c s="29" r="G9">
        <v>72.75</v>
      </c>
      <c s="29" r="H9">
        <v>91.31</v>
      </c>
      <c s="29" r="I9">
        <v>79.82</v>
      </c>
      <c s="29" r="J9">
        <v>75.09</v>
      </c>
      <c s="29" r="K9">
        <v>75.09</v>
      </c>
      <c s="29" r="L9">
        <v>75.09</v>
      </c>
    </row>
    <row>
      <c s="22" r="A10">
        <v>3</v>
      </c>
      <c t="s" r="B10">
        <v>163</v>
      </c>
      <c s="29" r="C10">
        <v>58.38</v>
      </c>
      <c s="29" r="D10">
        <v>90.60</v>
      </c>
      <c s="29" r="E10">
        <v>95.37</v>
      </c>
      <c s="30" r="F10">
        <v>105.71</v>
      </c>
      <c s="29" r="G10">
        <v>79.26</v>
      </c>
      <c s="29" r="H10">
        <v>89.71</v>
      </c>
      <c s="29" r="I10">
        <v>85.05</v>
      </c>
      <c s="29" r="J10">
        <v>92.99</v>
      </c>
      <c s="29" r="K10">
        <v>92.99</v>
      </c>
      <c s="29" r="L10">
        <v>92.99</v>
      </c>
    </row>
    <row>
      <c s="22" r="A11">
        <v>4</v>
      </c>
      <c t="s" r="B11">
        <v>164</v>
      </c>
      <c s="30" r="C11">
        <v>329.38</v>
      </c>
      <c s="30" r="D11">
        <v>420.36</v>
      </c>
      <c s="30" r="E11">
        <v>526.31</v>
      </c>
      <c s="30" r="F11">
        <v>451.37</v>
      </c>
      <c s="30" r="G11">
        <v>468.65</v>
      </c>
      <c s="30" r="H11">
        <v>629.02</v>
      </c>
      <c s="30" r="I11">
        <v>599.73</v>
      </c>
      <c s="30" r="J11">
        <v>437.46</v>
      </c>
      <c s="30" r="K11">
        <v>516.44</v>
      </c>
      <c s="30" r="L11">
        <v>502.75</v>
      </c>
    </row>
    <row>
      <c s="22" r="A12">
        <v>5</v>
      </c>
      <c t="s" r="B12">
        <v>165</v>
      </c>
      <c s="30" r="C12">
        <v>344.00</v>
      </c>
      <c s="30" r="D12">
        <v>300.61</v>
      </c>
      <c s="30" r="E12">
        <v>307.44</v>
      </c>
      <c s="30" r="F12">
        <v>238.99</v>
      </c>
      <c s="30" r="G12">
        <v>259.25</v>
      </c>
      <c s="30" r="H12">
        <v>358.36</v>
      </c>
      <c s="30" r="I12">
        <v>361.44</v>
      </c>
      <c s="30" r="J12">
        <v>314.55</v>
      </c>
      <c s="30" r="K12">
        <v>485.03</v>
      </c>
      <c s="30" r="L12">
        <v>484.24</v>
      </c>
    </row>
    <row>
      <c s="22" r="A13">
        <v>6</v>
      </c>
      <c t="s" r="B13">
        <v>166</v>
      </c>
      <c s="29" r="C13">
        <v>23.86</v>
      </c>
      <c s="24" r="D13">
        <v>6.76</v>
      </c>
      <c s="24" r="E13">
        <v>6.95</v>
      </c>
      <c s="24" r="F13">
        <v>3.85</v>
      </c>
      <c s="24" r="G13">
        <v>3.75</v>
      </c>
      <c s="24" r="H13">
        <v>4.95</v>
      </c>
      <c s="24" r="I13">
        <v>3.01</v>
      </c>
      <c s="24" r="J13">
        <v>2.45</v>
      </c>
      <c s="24" r="K13">
        <v>4.07</v>
      </c>
      <c s="24" r="L13">
        <v>4.07</v>
      </c>
    </row>
    <row>
      <c s="22" r="A14">
        <v>7</v>
      </c>
      <c t="s" r="B14">
        <v>167</v>
      </c>
      <c s="24" r="C14">
        <v>0.18</v>
      </c>
      <c s="24" r="D14">
        <v>0.03</v>
      </c>
      <c t="s" r="E14"/>
      <c s="24" r="F14">
        <v>0.03</v>
      </c>
      <c s="24" r="G14">
        <v>0.24</v>
      </c>
      <c s="24" r="H14">
        <v>0.28</v>
      </c>
      <c s="24" r="I14">
        <v>0.28</v>
      </c>
      <c s="24" r="J14">
        <v>0.29</v>
      </c>
      <c s="24" r="K14">
        <v>0.29</v>
      </c>
      <c s="24" r="L14">
        <v>0.29</v>
      </c>
    </row>
    <row>
      <c s="20" t="s" r="A15"/>
      <c s="20" t="s" r="B15">
        <v>168</v>
      </c>
      <c s="49" r="C15">
        <v>6003.23</v>
      </c>
      <c s="49" r="D15">
        <v>5615.65</v>
      </c>
      <c s="49" r="E15">
        <v>6088.14</v>
      </c>
      <c s="49" r="F15">
        <v>6246.84</v>
      </c>
      <c s="49" r="G15">
        <v>6982.75</v>
      </c>
      <c s="49" r="H15">
        <v>8562.38</v>
      </c>
      <c s="49" r="I15">
        <v>7994.31</v>
      </c>
      <c s="49" r="J15">
        <v>8066.23</v>
      </c>
      <c s="49" r="K15">
        <v>8026.82</v>
      </c>
      <c s="49" r="L15">
        <v>8013.94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s="22" r="A17">
        <v>8</v>
      </c>
      <c t="s" r="B17">
        <v>169</v>
      </c>
      <c s="30" r="C17">
        <v>106.02</v>
      </c>
      <c s="30" r="D17">
        <v>109.28</v>
      </c>
      <c s="30" r="E17">
        <v>120.23</v>
      </c>
      <c s="29" r="F17">
        <v>82.96</v>
      </c>
      <c s="29" r="G17">
        <v>96.94</v>
      </c>
      <c s="30" r="H17">
        <v>130.58</v>
      </c>
      <c s="30" r="I17">
        <v>112.05</v>
      </c>
      <c s="29" r="J17">
        <v>99.58</v>
      </c>
      <c s="30" r="K17">
        <v>114.43</v>
      </c>
      <c s="30" r="L17">
        <v>109.11</v>
      </c>
    </row>
    <row>
      <c s="22" r="A18">
        <v>9</v>
      </c>
      <c t="s" r="B18">
        <v>170</v>
      </c>
      <c s="29" r="C18">
        <v>29.98</v>
      </c>
      <c s="29" r="D18">
        <v>17.22</v>
      </c>
      <c s="29" r="E18">
        <v>20.26</v>
      </c>
      <c s="29" r="F18">
        <v>14.80</v>
      </c>
      <c s="29" r="G18">
        <v>13.59</v>
      </c>
      <c s="29" r="H18">
        <v>20.01</v>
      </c>
      <c s="24" r="I18">
        <v>9.21</v>
      </c>
      <c s="29" r="J18">
        <v>10.18</v>
      </c>
      <c s="24" r="K18">
        <v>8.46</v>
      </c>
      <c s="24" r="L18">
        <v>4.62</v>
      </c>
    </row>
    <row>
      <c s="28" r="A19">
        <v>10</v>
      </c>
      <c t="s" r="B19">
        <v>171</v>
      </c>
      <c s="29" r="C19">
        <v>10.04</v>
      </c>
      <c s="29" r="D19">
        <v>16.07</v>
      </c>
      <c s="29" r="E19">
        <v>22.39</v>
      </c>
      <c s="29" r="F19">
        <v>19.70</v>
      </c>
      <c s="29" r="G19">
        <v>22.27</v>
      </c>
      <c s="29" r="H19">
        <v>21.11</v>
      </c>
      <c s="24" r="I19">
        <v>6.06</v>
      </c>
      <c s="24" r="J19">
        <v>6.31</v>
      </c>
      <c s="29" r="K19">
        <v>11.17</v>
      </c>
      <c s="24" r="L19">
        <v>7.87</v>
      </c>
    </row>
    <row>
      <c s="28" r="A20">
        <v>11</v>
      </c>
      <c t="s" r="B20">
        <v>172</v>
      </c>
      <c s="30" r="C20">
        <v>304.60</v>
      </c>
      <c s="30" r="D20">
        <v>359.25</v>
      </c>
      <c s="30" r="E20">
        <v>405.17</v>
      </c>
      <c s="30" r="F20">
        <v>322.59</v>
      </c>
      <c s="30" r="G20">
        <v>292.62</v>
      </c>
      <c s="30" r="H20">
        <v>345.01</v>
      </c>
      <c s="30" r="I20">
        <v>405.26</v>
      </c>
      <c s="30" r="J20">
        <v>427.74</v>
      </c>
      <c s="30" r="K20">
        <v>460.31</v>
      </c>
      <c s="30" r="L20">
        <v>498.90</v>
      </c>
    </row>
    <row>
      <c s="28" r="A21">
        <v>12</v>
      </c>
      <c t="s" r="B21">
        <v>173</v>
      </c>
      <c s="24" r="C21">
        <v>2.78</v>
      </c>
      <c s="24" r="D21">
        <v>1.51</v>
      </c>
      <c s="24" r="E21">
        <v>6.01</v>
      </c>
      <c s="24" r="F21">
        <v>5.67</v>
      </c>
      <c s="24" r="G21">
        <v>7.03</v>
      </c>
      <c s="24" r="H21">
        <v>0.87</v>
      </c>
      <c s="24" r="I21">
        <v>1.32</v>
      </c>
      <c s="24" r="J21">
        <v>0.85</v>
      </c>
      <c s="24" r="K21">
        <v>1.02</v>
      </c>
      <c s="24" r="L21">
        <v>1.07</v>
      </c>
    </row>
    <row>
      <c s="28" r="A22">
        <v>13</v>
      </c>
      <c t="s" r="B22">
        <v>174</v>
      </c>
      <c s="30" r="C22">
        <v>209.68</v>
      </c>
      <c s="30" r="D22">
        <v>197.57</v>
      </c>
      <c s="30" r="E22">
        <v>209.37</v>
      </c>
      <c s="30" r="F22">
        <v>218.18</v>
      </c>
      <c s="30" r="G22">
        <v>236.68</v>
      </c>
      <c s="30" r="H22">
        <v>291.18</v>
      </c>
      <c s="30" r="I22">
        <v>294.06</v>
      </c>
      <c s="30" r="J22">
        <v>281.45</v>
      </c>
      <c s="30" r="K22">
        <v>286.29</v>
      </c>
      <c s="30" r="L22">
        <v>284.79</v>
      </c>
    </row>
    <row>
      <c s="28" r="A23">
        <v>14</v>
      </c>
      <c t="s" r="B23">
        <v>175</v>
      </c>
      <c s="24" r="C23">
        <v>3.75</v>
      </c>
      <c s="24" r="D23">
        <v>3.50</v>
      </c>
      <c s="24" r="E23">
        <v>4.59</v>
      </c>
      <c s="24" r="F23">
        <v>6.11</v>
      </c>
      <c s="24" r="G23">
        <v>2.81</v>
      </c>
      <c s="24" r="H23">
        <v>4.51</v>
      </c>
      <c s="24" r="I23">
        <v>4.65</v>
      </c>
      <c s="24" r="J23">
        <v>3.40</v>
      </c>
      <c s="24" r="K23">
        <v>4.20</v>
      </c>
      <c s="24" r="L23">
        <v>4.10</v>
      </c>
    </row>
    <row>
      <c s="20" t="s" r="A24"/>
      <c s="20" t="s" r="B24">
        <v>176</v>
      </c>
      <c s="49" r="C24">
        <v>6670.08</v>
      </c>
      <c s="49" r="D24">
        <v>6320.05</v>
      </c>
      <c s="49" r="E24">
        <v>6876.16</v>
      </c>
      <c s="49" r="F24">
        <v>6916.85</v>
      </c>
      <c s="49" r="G24">
        <v>7654.69</v>
      </c>
      <c s="49" r="H24">
        <v>9375.66</v>
      </c>
      <c s="49" r="I24">
        <v>8826.91</v>
      </c>
      <c s="49" r="J24">
        <v>8895.73</v>
      </c>
      <c s="49" r="K24">
        <v>9203.18</v>
      </c>
      <c s="49" r="L24">
        <v>9213.29</v>
      </c>
    </row>
    <row>
      <c t="s" r="A25"/>
      <c t="s" r="B25"/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t="s" r="A26"/>
      <c s="20" t="s" r="B26">
        <v>177</v>
      </c>
      <c t="s" r="C26"/>
      <c t="s" r="D26"/>
      <c t="s" r="E26"/>
      <c t="s" r="F26"/>
      <c t="s" r="G26"/>
      <c t="s" r="H26"/>
      <c t="s" r="I26"/>
      <c t="s" r="J26"/>
      <c t="s" r="K26"/>
      <c t="s" r="L26"/>
    </row>
    <row>
      <c s="28" r="A27">
        <v>15</v>
      </c>
      <c t="s" r="B27">
        <v>178</v>
      </c>
      <c s="30" r="C27">
        <v>108.71</v>
      </c>
      <c s="30" r="D27">
        <v>123.94</v>
      </c>
      <c s="30" r="E27">
        <v>179.55</v>
      </c>
      <c s="30" r="F27">
        <v>167.84</v>
      </c>
      <c s="30" r="G27">
        <v>167.70</v>
      </c>
      <c s="30" r="H27">
        <v>309.36</v>
      </c>
      <c s="30" r="I27">
        <v>307.10</v>
      </c>
      <c s="30" r="J27">
        <v>285.82</v>
      </c>
      <c s="30" r="K27">
        <v>264.83</v>
      </c>
      <c s="30" r="L27">
        <v>247.18</v>
      </c>
    </row>
    <row>
      <c s="28" r="A28">
        <v>16</v>
      </c>
      <c t="s" r="B28">
        <v>179</v>
      </c>
      <c s="30" r="C28">
        <v>548.47</v>
      </c>
      <c s="30" r="D28">
        <v>553.13</v>
      </c>
      <c s="30" r="E28">
        <v>713.35</v>
      </c>
      <c s="30" r="F28">
        <v>824.74</v>
      </c>
      <c s="30" r="G28">
        <v>653.58</v>
      </c>
      <c s="30" r="H28">
        <v>683.81</v>
      </c>
      <c s="30" r="I28">
        <v>899.49</v>
      </c>
      <c s="30" r="J28">
        <v>909.09</v>
      </c>
      <c s="30" r="K28">
        <v>911.02</v>
      </c>
      <c s="30" r="L28">
        <v>914.55</v>
      </c>
    </row>
    <row>
      <c s="28" r="A29">
        <v>17</v>
      </c>
      <c t="inlineStr" r="B29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30" r="C29">
        <v>895.69</v>
      </c>
      <c s="30" r="D29">
        <v>851.91</v>
      </c>
      <c s="30" r="E29">
        <v>936.84</v>
      </c>
      <c s="30" r="F29">
        <v>863.13</v>
      </c>
      <c s="31" r="G29">
        <v>1186.14</v>
      </c>
      <c s="31" r="H29">
        <v>1353.47</v>
      </c>
      <c s="31" r="I29">
        <v>1357.67</v>
      </c>
      <c s="31" r="J29">
        <v>1422.52</v>
      </c>
      <c s="31" r="K29">
        <v>1392.85</v>
      </c>
      <c s="31" r="L29">
        <v>1394.90</v>
      </c>
    </row>
    <row>
      <c s="28" r="A30">
        <v>18</v>
      </c>
      <c t="s" r="B30">
        <v>180</v>
      </c>
      <c s="31" r="C30">
        <v>5117.21</v>
      </c>
      <c s="31" r="D30">
        <v>4791.07</v>
      </c>
      <c s="31" r="E30">
        <v>5046.43</v>
      </c>
      <c s="31" r="F30">
        <v>5061.15</v>
      </c>
      <c s="31" r="G30">
        <v>5647.27</v>
      </c>
      <c s="31" r="H30">
        <v>7029.02</v>
      </c>
      <c s="31" r="I30">
        <v>6262.65</v>
      </c>
      <c s="31" r="J30">
        <v>6278.30</v>
      </c>
      <c s="31" r="K30">
        <v>6634.49</v>
      </c>
      <c s="31" r="L30">
        <v>6656.67</v>
      </c>
    </row>
    <row>
      <c s="20" t="s" r="A31"/>
      <c s="20" t="s" r="B31">
        <v>181</v>
      </c>
      <c s="49" r="C31">
        <v>6670.08</v>
      </c>
      <c s="49" r="D31">
        <v>6320.05</v>
      </c>
      <c s="49" r="E31">
        <v>6876.16</v>
      </c>
      <c s="49" r="F31">
        <v>6916.85</v>
      </c>
      <c s="49" r="G31">
        <v>7654.69</v>
      </c>
      <c s="49" r="H31">
        <v>9375.66</v>
      </c>
      <c s="49" r="I31">
        <v>8826.91</v>
      </c>
      <c s="49" r="J31">
        <v>8895.73</v>
      </c>
      <c s="20" t="s" r="K31"/>
      <c s="20" t="s" r="L31"/>
    </row>
    <row>
      <c t="s" r="A32"/>
      <c t="s" r="B32"/>
      <c t="s" r="C32"/>
      <c t="s" r="D32"/>
      <c t="s" r="E32"/>
      <c t="s" r="F32"/>
      <c t="s" r="G32"/>
      <c t="s" r="H32"/>
      <c t="s" r="I32"/>
      <c t="s" r="J32"/>
      <c t="s" r="K32"/>
      <c t="s" r="L32"/>
    </row>
    <row>
      <c s="28" r="A33">
        <v>19</v>
      </c>
      <c t="s" r="B33">
        <v>182</v>
      </c>
      <c s="23" r="C33">
        <v>4026</v>
      </c>
      <c s="23" r="D33">
        <v>4758</v>
      </c>
      <c s="23" r="E33">
        <v>4888</v>
      </c>
      <c s="23" r="F33">
        <v>5004</v>
      </c>
      <c s="23" r="G33">
        <v>4746</v>
      </c>
      <c s="23" r="H33">
        <v>4477</v>
      </c>
      <c s="23" r="I33">
        <v>4761</v>
      </c>
      <c s="23" r="J33">
        <v>4984</v>
      </c>
      <c s="23" r="K33">
        <v>4273</v>
      </c>
      <c s="23" r="L33">
        <v>4188</v>
      </c>
    </row>
    <row>
      <c s="28" r="A34">
        <v>20</v>
      </c>
      <c t="s" r="B34">
        <v>183</v>
      </c>
      <c s="35" r="C34">
        <v>451</v>
      </c>
      <c s="35" r="D34">
        <v>431</v>
      </c>
      <c s="35" r="E34">
        <v>488</v>
      </c>
      <c s="35" r="F34">
        <v>478</v>
      </c>
      <c s="35" r="G34">
        <v>456</v>
      </c>
      <c s="35" r="H34">
        <v>442</v>
      </c>
      <c s="35" r="I34">
        <v>500</v>
      </c>
      <c s="35" r="J34">
        <v>438</v>
      </c>
      <c s="35" r="K34">
        <v>423</v>
      </c>
      <c s="35" r="L34">
        <v>455</v>
      </c>
    </row>
    <row>
      <c s="28" r="A35">
        <v>21</v>
      </c>
      <c t="s" r="B35">
        <v>184</v>
      </c>
      <c s="28" r="C35">
        <v>69</v>
      </c>
      <c s="28" r="D35">
        <v>18</v>
      </c>
      <c s="28" r="E35">
        <v>18</v>
      </c>
      <c s="28" r="F35">
        <v>20</v>
      </c>
      <c s="28" r="G35">
        <v>19</v>
      </c>
      <c s="28" r="H35">
        <v>21</v>
      </c>
      <c s="28" r="I35">
        <v>12</v>
      </c>
      <c s="28" r="J35">
        <v>11</v>
      </c>
      <c s="22" r="K35">
        <v>6</v>
      </c>
      <c s="28" r="L35">
        <v>12</v>
      </c>
    </row>
    <row>
      <c s="38" r="A36">
        <v>22</v>
      </c>
      <c s="20" t="s" r="B36">
        <v>71</v>
      </c>
      <c s="47" r="C36">
        <v>5862</v>
      </c>
      <c s="47" r="D36">
        <v>6157</v>
      </c>
      <c s="47" r="E36">
        <v>6625</v>
      </c>
      <c s="47" r="F36">
        <v>6651</v>
      </c>
      <c s="47" r="G36">
        <v>6279</v>
      </c>
      <c s="47" r="H36">
        <v>5990</v>
      </c>
      <c s="47" r="I36">
        <v>6527</v>
      </c>
      <c s="47" r="J36">
        <v>6546</v>
      </c>
      <c s="47" r="K36">
        <v>5697</v>
      </c>
      <c s="47" r="L36">
        <v>5860</v>
      </c>
    </row>
    <row>
      <c s="28" r="A37">
        <v>23</v>
      </c>
      <c t="s" r="B37">
        <v>185</v>
      </c>
      <c s="23" r="C37">
        <v>1593</v>
      </c>
      <c s="23" r="D37">
        <v>1718</v>
      </c>
      <c s="23" r="E37">
        <v>1668</v>
      </c>
      <c s="23" r="F37">
        <v>1596</v>
      </c>
      <c s="23" r="G37">
        <v>1597</v>
      </c>
      <c s="23" r="H37">
        <v>1414</v>
      </c>
      <c s="23" r="I37">
        <v>1432</v>
      </c>
      <c s="23" r="J37">
        <v>1416</v>
      </c>
      <c s="23" r="K37">
        <v>1416</v>
      </c>
      <c s="23" r="L37">
        <v>1416</v>
      </c>
    </row>
    <row>
      <c t="s" r="A38"/>
      <c t="s" r="B38"/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t="inlineStr" r="B39">
        <is xml:space="preserve">
          <r>
            <rPr>
              <color rgb="FFFF0000"/>
              <sz val="14"/>
            </rPr>
            <t>*</t>
          </r>
          <r>
            <rPr/>
            <t>Reserves shown in line 17 is not cash but a value that recognises that all (owned and leased) assets, e.g. leased land, are included under Assets at current market value.</t>
          </r>
        </is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48" t="s" r="B40">
        <v>186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t="s" r="B41"/>
      <c t="s" r="C41"/>
      <c t="s" r="D41"/>
      <c t="s" r="E41"/>
      <c t="s" r="F41"/>
      <c t="s" r="G41"/>
      <c t="s" r="H41"/>
      <c t="s" r="I41"/>
      <c t="s" r="J41"/>
      <c t="s" r="K41"/>
      <c t="s" r="L41"/>
    </row>
    <row>
      <c t="s" r="A42"/>
      <c s="21" t="s" r="B42">
        <v>102</v>
      </c>
      <c s="32" r="C42">
        <f>_xlfn.HYPERLINK("mailto:econ@beeflambnz.com","econ@beeflambnz.com")</f>
      </c>
      <c t="s" r="D42"/>
      <c t="s" r="E42"/>
      <c s="19" t="s" r="F42">
        <v>54</v>
      </c>
      <c t="s" r="G42"/>
      <c t="s" r="H42"/>
      <c t="s" r="I42"/>
      <c t="s" r="J42"/>
      <c t="s" r="K42"/>
      <c s="21" t="s" r="L42">
        <v>103</v>
      </c>
    </row>
  </sheetData>
  <mergeCells count="1">
    <mergeCell ref="C42:E42"/>
  </mergeCells>
  <hyperlinks>
    <hyperlink ref="L2" location="Notes!A1" display="Notes tab"/>
    <hyperlink ref="F42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190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191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192</v>
      </c>
      <c s="34" r="C8">
        <v>119505</v>
      </c>
      <c s="34" r="D8">
        <v>254802</v>
      </c>
      <c s="34" r="E8">
        <v>255372</v>
      </c>
      <c s="34" r="F8">
        <v>190236</v>
      </c>
      <c s="34" r="G8">
        <v>131523</v>
      </c>
      <c s="34" r="H8">
        <v>251176</v>
      </c>
      <c s="34" r="I8">
        <v>146309</v>
      </c>
      <c s="34" r="J8">
        <v>-59166</v>
      </c>
      <c s="33" r="K8">
        <v>81118</v>
      </c>
      <c s="34" r="L8">
        <v>130668</v>
      </c>
    </row>
    <row>
      <c s="22" r="A9">
        <v>2</v>
      </c>
      <c t="s" r="B9">
        <v>193</v>
      </c>
      <c s="33" r="C9">
        <v>36173</v>
      </c>
      <c s="33" r="D9">
        <v>44568</v>
      </c>
      <c s="33" r="E9">
        <v>56709</v>
      </c>
      <c s="33" r="F9">
        <v>63522</v>
      </c>
      <c s="33" r="G9">
        <v>53747</v>
      </c>
      <c s="33" r="H9">
        <v>48346</v>
      </c>
      <c s="33" r="I9">
        <v>50827</v>
      </c>
      <c s="33" r="J9">
        <v>50527</v>
      </c>
      <c s="33" r="K9">
        <v>49500</v>
      </c>
      <c s="33" r="L9">
        <v>51500</v>
      </c>
    </row>
    <row>
      <c s="22" r="A10">
        <v>3</v>
      </c>
      <c t="s" r="B10">
        <v>194</v>
      </c>
      <c s="34" r="C10">
        <v>-30307</v>
      </c>
      <c s="34" r="D10">
        <v>-58489</v>
      </c>
      <c s="34" r="E10">
        <v>-49253</v>
      </c>
      <c s="33" r="F10">
        <v>25734</v>
      </c>
      <c s="33" r="G10">
        <v>26819</v>
      </c>
      <c s="34" r="H10">
        <v>-74379</v>
      </c>
      <c s="34" r="I10">
        <v>-27547</v>
      </c>
      <c s="33" r="J10">
        <v>87884</v>
      </c>
      <c s="34" r="K10">
        <v>-31285</v>
      </c>
      <c s="23" r="L10">
        <v>9367</v>
      </c>
    </row>
    <row>
      <c s="20" t="s" r="A11"/>
      <c s="20" t="s" r="B11">
        <v>195</v>
      </c>
      <c s="37" r="C11">
        <v>125371</v>
      </c>
      <c s="37" r="D11">
        <v>240881</v>
      </c>
      <c s="37" r="E11">
        <v>262828</v>
      </c>
      <c s="37" r="F11">
        <v>279492</v>
      </c>
      <c s="37" r="G11">
        <v>212089</v>
      </c>
      <c s="37" r="H11">
        <v>225143</v>
      </c>
      <c s="37" r="I11">
        <v>169589</v>
      </c>
      <c s="39" r="J11">
        <v>79245</v>
      </c>
      <c s="39" r="K11">
        <v>99333</v>
      </c>
      <c s="37" r="L11">
        <v>191535</v>
      </c>
    </row>
    <row>
      <c s="22" r="A12">
        <v>4</v>
      </c>
      <c t="s" r="B12">
        <v>196</v>
      </c>
      <c s="33" r="C12">
        <v>10815</v>
      </c>
      <c s="23" r="D12">
        <v>9110</v>
      </c>
      <c s="23" r="E12">
        <v>8168</v>
      </c>
      <c s="23" r="F12">
        <v>8068</v>
      </c>
      <c s="23" r="G12">
        <v>7559</v>
      </c>
      <c s="33" r="H12">
        <v>12280</v>
      </c>
      <c s="33" r="I12">
        <v>21598</v>
      </c>
      <c s="33" r="J12">
        <v>18648</v>
      </c>
      <c s="33" r="K12">
        <v>17509</v>
      </c>
      <c s="33" r="L12">
        <v>19252</v>
      </c>
    </row>
    <row>
      <c s="22" r="A13">
        <v>5</v>
      </c>
      <c t="s" r="B13">
        <v>197</v>
      </c>
      <c s="33" r="C13">
        <v>22331</v>
      </c>
      <c s="33" r="D13">
        <v>40335</v>
      </c>
      <c s="33" r="E13">
        <v>38094</v>
      </c>
      <c s="33" r="F13">
        <v>14275</v>
      </c>
      <c s="33" r="G13">
        <v>32192</v>
      </c>
      <c s="33" r="H13">
        <v>24697</v>
      </c>
      <c s="23" r="I13">
        <v>6977</v>
      </c>
      <c s="33" r="J13">
        <v>13451</v>
      </c>
      <c s="33" r="K13">
        <v>15041</v>
      </c>
      <c s="33" r="L13">
        <v>11823</v>
      </c>
    </row>
    <row>
      <c s="22" r="A14">
        <v>6</v>
      </c>
      <c t="s" r="B14">
        <v>198</v>
      </c>
      <c s="34" r="C14">
        <v>156615</v>
      </c>
      <c s="34" r="D14">
        <v>320286</v>
      </c>
      <c s="34" r="E14">
        <v>341938</v>
      </c>
      <c s="33" r="F14">
        <v>91713</v>
      </c>
      <c s="33" r="G14">
        <v>49293</v>
      </c>
      <c s="33" r="H14">
        <v>62794</v>
      </c>
      <c s="33" r="I14">
        <v>86536</v>
      </c>
      <c s="34" r="J14">
        <v>116090</v>
      </c>
      <c s="33" r="K14">
        <v>88473</v>
      </c>
      <c s="33" r="L14">
        <v>97033</v>
      </c>
    </row>
    <row>
      <c s="22" r="A15">
        <v>7</v>
      </c>
      <c t="s" r="B15">
        <v>199</v>
      </c>
      <c s="23" r="C15">
        <v>6048</v>
      </c>
      <c t="s" r="D15"/>
      <c t="s" r="E15"/>
      <c s="23" r="F15">
        <v>6762</v>
      </c>
      <c s="23" r="G15">
        <v>1350</v>
      </c>
      <c t="s" r="H15"/>
      <c s="23" r="I15">
        <v>1693</v>
      </c>
      <c s="23" r="J15">
        <v>4836</v>
      </c>
      <c s="23" r="K15">
        <v>3265</v>
      </c>
      <c s="23" r="L15">
        <v>4051</v>
      </c>
    </row>
    <row>
      <c s="22" r="A16">
        <v>8</v>
      </c>
      <c t="s" r="B16">
        <v>200</v>
      </c>
      <c s="33" r="C16">
        <v>70668</v>
      </c>
      <c s="34" r="D16">
        <v>116721</v>
      </c>
      <c s="33" r="E16">
        <v>92048</v>
      </c>
      <c s="33" r="F16">
        <v>53707</v>
      </c>
      <c s="33" r="G16">
        <v>52795</v>
      </c>
      <c s="33" r="H16">
        <v>45622</v>
      </c>
      <c s="34" r="I16">
        <v>188919</v>
      </c>
      <c s="34" r="J16">
        <v>101493</v>
      </c>
      <c s="34" r="K16">
        <v>145695</v>
      </c>
      <c s="34" r="L16">
        <v>123856</v>
      </c>
    </row>
    <row>
      <c s="20" t="s" r="A17"/>
      <c s="20" t="s" r="B17">
        <v>201</v>
      </c>
      <c s="37" r="C17">
        <v>391848</v>
      </c>
      <c s="37" r="D17">
        <v>727333</v>
      </c>
      <c s="37" r="E17">
        <v>743076</v>
      </c>
      <c s="37" r="F17">
        <v>454017</v>
      </c>
      <c s="37" r="G17">
        <v>355278</v>
      </c>
      <c s="37" r="H17">
        <v>370536</v>
      </c>
      <c s="37" r="I17">
        <v>475312</v>
      </c>
      <c s="37" r="J17">
        <v>333763</v>
      </c>
      <c s="37" r="K17">
        <v>369316</v>
      </c>
      <c s="37" r="L17">
        <v>447550</v>
      </c>
    </row>
    <row>
      <c t="s" r="A18"/>
      <c t="s" r="B18"/>
      <c t="s" r="C18"/>
      <c t="s" r="D18"/>
      <c t="s" r="E18"/>
      <c t="s" r="F18"/>
      <c t="s" r="G18"/>
      <c t="s" r="H18"/>
      <c t="s" r="I18"/>
      <c t="s" r="J18"/>
      <c t="s" r="K18"/>
      <c t="s" r="L18"/>
    </row>
    <row>
      <c t="s" r="A19"/>
      <c s="20" t="s" r="B19">
        <v>202</v>
      </c>
      <c t="s" r="C19"/>
      <c t="s" r="D19"/>
      <c t="s" r="E19"/>
      <c t="s" r="F19"/>
      <c t="s" r="G19"/>
      <c t="s" r="H19"/>
      <c t="s" r="I19"/>
      <c t="s" r="J19"/>
      <c t="s" r="K19"/>
      <c t="s" r="L19"/>
    </row>
    <row>
      <c s="22" r="A20">
        <v>9</v>
      </c>
      <c t="s" r="B20">
        <v>203</v>
      </c>
      <c s="33" r="C20">
        <v>13303</v>
      </c>
      <c s="23" r="D20">
        <v>3349</v>
      </c>
      <c s="23" r="E20">
        <v>5087</v>
      </c>
      <c s="23" r="F20">
        <v>6520</v>
      </c>
      <c s="23" r="G20">
        <v>8936</v>
      </c>
      <c s="33" r="H20">
        <v>51257</v>
      </c>
      <c s="33" r="I20">
        <v>23152</v>
      </c>
      <c s="23" r="J20">
        <v>6898</v>
      </c>
      <c s="33" r="K20">
        <v>10246</v>
      </c>
      <c s="33" r="L20">
        <v>11849</v>
      </c>
    </row>
    <row>
      <c s="28" r="A21">
        <v>10</v>
      </c>
      <c t="s" r="B21">
        <v>204</v>
      </c>
      <c s="33" r="C21">
        <v>34081</v>
      </c>
      <c s="33" r="D21">
        <v>53189</v>
      </c>
      <c s="33" r="E21">
        <v>58871</v>
      </c>
      <c s="33" r="F21">
        <v>61026</v>
      </c>
      <c s="33" r="G21">
        <v>32583</v>
      </c>
      <c s="33" r="H21">
        <v>48920</v>
      </c>
      <c s="33" r="I21">
        <v>33568</v>
      </c>
      <c s="33" r="J21">
        <v>34020</v>
      </c>
      <c s="33" r="K21">
        <v>18000</v>
      </c>
      <c s="33" r="L21">
        <v>18836</v>
      </c>
    </row>
    <row>
      <c s="28" r="A22">
        <v>11</v>
      </c>
      <c t="s" r="B22">
        <v>205</v>
      </c>
      <c s="33" r="C22">
        <v>-3462</v>
      </c>
      <c s="33" r="D22">
        <v>12750</v>
      </c>
      <c s="33" r="E22">
        <v>44029</v>
      </c>
      <c s="33" r="F22">
        <v>-2763</v>
      </c>
      <c s="35" r="G22">
        <v>204</v>
      </c>
      <c t="s" r="H22"/>
      <c s="34" r="I22">
        <v>-20294</v>
      </c>
      <c t="s" r="J22"/>
      <c s="23" r="K22">
        <v>6884</v>
      </c>
      <c s="33" r="L22">
        <v>-4677</v>
      </c>
    </row>
    <row>
      <c s="28" r="A23">
        <v>12</v>
      </c>
      <c t="s" r="B23">
        <v>206</v>
      </c>
      <c s="23" r="C23">
        <v>7882</v>
      </c>
      <c s="23" r="D23">
        <v>4043</v>
      </c>
      <c s="34" r="E23">
        <v>-12266</v>
      </c>
      <c s="33" r="F23">
        <v>-2102</v>
      </c>
      <c s="33" r="G23">
        <v>-8759</v>
      </c>
      <c s="23" r="H23">
        <v>5899</v>
      </c>
      <c s="50" r="I23">
        <v>-877</v>
      </c>
      <c s="34" r="J23">
        <v>-12926</v>
      </c>
      <c s="33" r="K23">
        <v>-2431</v>
      </c>
      <c s="33" r="L23">
        <v>-5439</v>
      </c>
    </row>
    <row>
      <c s="28" r="A24">
        <v>13</v>
      </c>
      <c t="s" r="B24">
        <v>207</v>
      </c>
      <c s="33" r="C24">
        <v>39125</v>
      </c>
      <c s="33" r="D24">
        <v>12400</v>
      </c>
      <c s="33" r="E24">
        <v>68110</v>
      </c>
      <c s="33" r="F24">
        <v>11548</v>
      </c>
      <c s="23" r="G24">
        <v>8227</v>
      </c>
      <c s="34" r="H24">
        <v>-58598</v>
      </c>
      <c s="33" r="I24">
        <v>21672</v>
      </c>
      <c s="33" r="J24">
        <v>16435</v>
      </c>
      <c s="33" r="K24">
        <v>46118</v>
      </c>
      <c s="33" r="L24">
        <v>54651</v>
      </c>
    </row>
    <row>
      <c s="28" r="A25">
        <v>14</v>
      </c>
      <c t="s" r="B25">
        <v>208</v>
      </c>
      <c s="33" r="C25">
        <v>70846</v>
      </c>
      <c s="34" r="D25">
        <v>282627</v>
      </c>
      <c s="34" r="E25">
        <v>290752</v>
      </c>
      <c s="33" r="F25">
        <v>90647</v>
      </c>
      <c s="33" r="G25">
        <v>68015</v>
      </c>
      <c s="33" r="H25">
        <v>65296</v>
      </c>
      <c s="33" r="I25">
        <v>97472</v>
      </c>
      <c s="33" r="J25">
        <v>39266</v>
      </c>
      <c s="33" r="K25">
        <v>85748</v>
      </c>
      <c s="33" r="L25">
        <v>92033</v>
      </c>
    </row>
    <row>
      <c s="28" r="A26">
        <v>15</v>
      </c>
      <c t="s" r="B26">
        <v>209</v>
      </c>
      <c s="34" r="C26">
        <v>139513</v>
      </c>
      <c s="34" r="D26">
        <v>156520</v>
      </c>
      <c s="34" r="E26">
        <v>133488</v>
      </c>
      <c s="34" r="F26">
        <v>134155</v>
      </c>
      <c s="34" r="G26">
        <v>135673</v>
      </c>
      <c s="34" r="H26">
        <v>127029</v>
      </c>
      <c s="34" r="I26">
        <v>119417</v>
      </c>
      <c s="34" r="J26">
        <v>125429</v>
      </c>
      <c s="34" r="K26">
        <v>123958</v>
      </c>
      <c s="34" r="L26">
        <v>122935</v>
      </c>
    </row>
    <row>
      <c s="28" r="A27">
        <v>16</v>
      </c>
      <c t="s" r="B27">
        <v>210</v>
      </c>
      <c s="33" r="C27">
        <v>20203</v>
      </c>
      <c s="33" r="D27">
        <v>46091</v>
      </c>
      <c s="33" r="E27">
        <v>68015</v>
      </c>
      <c s="33" r="F27">
        <v>89186</v>
      </c>
      <c s="33" r="G27">
        <v>41950</v>
      </c>
      <c s="33" r="H27">
        <v>48121</v>
      </c>
      <c s="33" r="I27">
        <v>54777</v>
      </c>
      <c s="33" r="J27">
        <v>41747</v>
      </c>
      <c s="34" r="K27">
        <v>-17750</v>
      </c>
      <c s="33" r="L27">
        <v>24335</v>
      </c>
    </row>
    <row>
      <c s="28" r="A28">
        <v>17</v>
      </c>
      <c t="s" r="B28">
        <v>211</v>
      </c>
      <c s="33" r="C28">
        <v>67361</v>
      </c>
      <c s="34" r="D28">
        <v>179726</v>
      </c>
      <c s="33" r="E28">
        <v>64487</v>
      </c>
      <c s="33" r="F28">
        <v>72555</v>
      </c>
      <c s="33" r="G28">
        <v>37778</v>
      </c>
      <c s="34" r="H28">
        <v>115035</v>
      </c>
      <c s="34" r="I28">
        <v>169268</v>
      </c>
      <c s="34" r="J28">
        <v>108054</v>
      </c>
      <c s="33" r="K28">
        <v>90658</v>
      </c>
      <c s="33" r="L28">
        <v>94536</v>
      </c>
    </row>
    <row>
      <c s="20" t="s" r="A29"/>
      <c s="20" t="s" r="B29">
        <v>212</v>
      </c>
      <c s="37" r="C29">
        <v>388852</v>
      </c>
      <c s="37" r="D29">
        <v>750695</v>
      </c>
      <c s="37" r="E29">
        <v>720573</v>
      </c>
      <c s="37" r="F29">
        <v>460772</v>
      </c>
      <c s="37" r="G29">
        <v>324607</v>
      </c>
      <c s="37" r="H29">
        <v>402959</v>
      </c>
      <c s="37" r="I29">
        <v>498155</v>
      </c>
      <c s="37" r="J29">
        <v>358923</v>
      </c>
      <c s="37" r="K29">
        <v>439251</v>
      </c>
      <c s="37" r="L29">
        <v>474400</v>
      </c>
    </row>
    <row>
      <c t="s" r="A30"/>
      <c t="s" r="B30"/>
      <c t="s" r="C30"/>
      <c t="s" r="D30"/>
      <c t="s" r="E30"/>
      <c t="s" r="F30"/>
      <c t="s" r="G30"/>
      <c t="s" r="H30"/>
      <c t="s" r="I30"/>
      <c t="s" r="J30"/>
      <c t="s" r="K30"/>
      <c t="s" r="L30"/>
    </row>
    <row>
      <c t="s" r="A31"/>
      <c s="20" t="s" r="B31">
        <v>213</v>
      </c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t="s" r="A32"/>
      <c t="s" r="B32">
        <v>214</v>
      </c>
      <c s="23" r="C32">
        <v>2996</v>
      </c>
      <c s="34" r="D32">
        <v>-23362</v>
      </c>
      <c s="33" r="E32">
        <v>22503</v>
      </c>
      <c s="33" r="F32">
        <v>-6755</v>
      </c>
      <c s="33" r="G32">
        <v>30671</v>
      </c>
      <c s="34" r="H32">
        <v>-32423</v>
      </c>
      <c s="34" r="I32">
        <v>-22843</v>
      </c>
      <c s="34" r="J32">
        <v>-25160</v>
      </c>
      <c s="34" r="K32">
        <v>-69935</v>
      </c>
      <c s="34" r="L32">
        <v>-26850</v>
      </c>
    </row>
    <row>
      <c t="s" r="A33"/>
      <c s="20" t="s" r="B33">
        <v>215</v>
      </c>
      <c t="s" r="C33"/>
      <c t="s" r="D33"/>
      <c t="s" r="E33"/>
      <c t="s" r="F33"/>
      <c t="s" r="G33"/>
      <c t="s" r="H33"/>
      <c t="s" r="I33"/>
      <c t="s" r="J33"/>
      <c t="s" r="K33"/>
      <c t="s" r="L33"/>
    </row>
    <row>
      <c s="28" r="A34">
        <v>18</v>
      </c>
      <c t="s" r="B34">
        <v>169</v>
      </c>
      <c s="33" r="C34">
        <v>13836</v>
      </c>
      <c s="23" r="D34">
        <v>9787</v>
      </c>
      <c s="35" r="E34">
        <v>647</v>
      </c>
      <c s="34" r="F34">
        <v>-38435</v>
      </c>
      <c s="33" r="G34">
        <v>38852</v>
      </c>
      <c s="33" r="H34">
        <v>24643</v>
      </c>
      <c s="33" r="I34">
        <v>27176</v>
      </c>
      <c s="33" r="J34">
        <v>-4549</v>
      </c>
      <c t="s" r="K34"/>
      <c t="s" r="L34"/>
    </row>
    <row>
      <c s="28" r="A35">
        <v>19</v>
      </c>
      <c t="s" r="B35">
        <v>216</v>
      </c>
      <c s="33" r="C35">
        <v>10840</v>
      </c>
      <c s="33" r="D35">
        <v>33149</v>
      </c>
      <c s="34" r="E35">
        <v>-21856</v>
      </c>
      <c s="34" r="F35">
        <v>-31680</v>
      </c>
      <c s="23" r="G35">
        <v>8181</v>
      </c>
      <c s="33" r="H35">
        <v>57066</v>
      </c>
      <c s="33" r="I35">
        <v>50019</v>
      </c>
      <c s="33" r="J35">
        <v>20611</v>
      </c>
      <c t="s" r="K35"/>
      <c t="s" r="L35"/>
    </row>
    <row>
      <c t="s" r="A36"/>
      <c s="20" t="s" r="B36">
        <v>217</v>
      </c>
      <c t="s" r="C36"/>
      <c t="s" r="D36"/>
      <c t="s" r="E36"/>
      <c t="s" r="F36"/>
      <c t="s" r="G36"/>
      <c t="s" r="H36"/>
      <c t="s" r="I36"/>
      <c t="s" r="J36"/>
      <c t="s" r="K36"/>
      <c t="s" r="L36"/>
    </row>
    <row>
      <c s="28" r="A37">
        <v>20</v>
      </c>
      <c t="s" r="B37">
        <v>218</v>
      </c>
      <c s="25" r="C37">
        <v>5.7</v>
      </c>
      <c s="25" r="D37">
        <v>4.9</v>
      </c>
      <c s="25" r="E37">
        <v>5.3</v>
      </c>
      <c s="25" r="F37">
        <v>4.3</v>
      </c>
      <c s="25" r="G37">
        <v>2.9</v>
      </c>
      <c s="25" r="H37">
        <v>5.1</v>
      </c>
      <c s="25" r="I37">
        <v>7.7</v>
      </c>
      <c s="25" r="J37">
        <v>8.0</v>
      </c>
      <c t="s" r="K37"/>
      <c t="s" r="L37"/>
    </row>
    <row>
      <c s="28" r="A38">
        <v>21</v>
      </c>
      <c t="s" r="B38">
        <v>219</v>
      </c>
      <c s="25" r="C38">
        <v>3.4</v>
      </c>
      <c s="25" r="D38">
        <v>8.8</v>
      </c>
      <c s="25" r="E38">
        <v>4.9</v>
      </c>
      <c s="25" r="F38">
        <v>6.0</v>
      </c>
      <c s="27" r="G38">
        <v>21.3</v>
      </c>
      <c s="27" r="H38">
        <v>10.3</v>
      </c>
      <c s="25" r="I38">
        <v>8.8</v>
      </c>
      <c s="25" r="J38">
        <v>2.8</v>
      </c>
      <c t="s" r="K38"/>
      <c t="s" r="L38"/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21" t="s" r="B40">
        <v>102</v>
      </c>
      <c s="32" r="C40">
        <f>_xlfn.HYPERLINK("mailto:econ@beeflambnz.com","econ@beeflambnz.com")</f>
      </c>
      <c t="s" r="D40"/>
      <c t="s" r="E40"/>
      <c s="19" t="s" r="F40">
        <v>54</v>
      </c>
      <c t="s" r="G40"/>
      <c t="s" r="H40"/>
      <c t="s" r="I40"/>
      <c t="s" r="J40"/>
      <c t="s" r="K40"/>
      <c s="21" t="s" r="L40">
        <v>103</v>
      </c>
    </row>
  </sheetData>
  <mergeCells count="1">
    <mergeCell ref="C40:E40"/>
  </mergeCells>
  <hyperlinks>
    <hyperlink ref="L2" location="Notes!A1" display="Notes tab"/>
    <hyperlink ref="F40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  <legacyDrawing r:id="rId1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/>
  <dcterms:created xsi:type="dcterms:W3CDTF">2025-09-11T08:46:21Z</dcterms:created>
</cp:coreProperties>
</file>